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than\Downloads\"/>
    </mc:Choice>
  </mc:AlternateContent>
  <xr:revisionPtr revIDLastSave="0" documentId="8_{15CBBD24-E1F6-4426-823B-F150B96E9693}" xr6:coauthVersionLast="47" xr6:coauthVersionMax="47" xr10:uidLastSave="{00000000-0000-0000-0000-000000000000}"/>
  <bookViews>
    <workbookView xWindow="-118" yWindow="-118" windowWidth="25370" windowHeight="13667" tabRatio="686" xr2:uid="{80CE3A83-EC48-45EA-B8AC-02F08495C705}"/>
  </bookViews>
  <sheets>
    <sheet name="ΑΤΟΜΙΚΑ ΣΤΟΙΧΕΙΑ A" sheetId="1" r:id="rId1"/>
  </sheets>
  <definedNames>
    <definedName name="_xlnm.Print_Area" localSheetId="0">'ΑΤΟΜΙΚΑ ΣΤΟΙΧΕΙΑ A'!$A$3:$H$43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1" i="1"/>
  <c r="J2" i="1"/>
  <c r="E1" i="1"/>
  <c r="F32" i="1" s="1"/>
  <c r="M3" i="1"/>
  <c r="F55" i="1" l="1"/>
  <c r="F73" i="1"/>
  <c r="F60" i="1"/>
  <c r="F71" i="1"/>
  <c r="F17" i="1"/>
  <c r="F62" i="1"/>
  <c r="F26" i="1"/>
  <c r="F49" i="1"/>
  <c r="F40" i="1"/>
  <c r="F9" i="1"/>
  <c r="F67" i="1"/>
  <c r="F72" i="1"/>
  <c r="F38" i="1"/>
  <c r="F10" i="1"/>
  <c r="F63" i="1"/>
  <c r="F5" i="1"/>
  <c r="F25" i="1"/>
  <c r="F14" i="1"/>
  <c r="F34" i="1"/>
  <c r="F45" i="1"/>
  <c r="F29" i="1"/>
  <c r="F4" i="1"/>
  <c r="F13" i="1"/>
  <c r="F39" i="1"/>
  <c r="F22" i="1"/>
  <c r="F24" i="1"/>
  <c r="F23" i="1"/>
  <c r="F53" i="1"/>
  <c r="F8" i="1"/>
  <c r="F43" i="1"/>
  <c r="F35" i="1"/>
  <c r="F47" i="1"/>
  <c r="F28" i="1"/>
  <c r="F37" i="1"/>
  <c r="F15" i="1"/>
  <c r="F64" i="1"/>
  <c r="F19" i="1"/>
  <c r="F12" i="1"/>
  <c r="F41" i="1"/>
  <c r="F65" i="1"/>
  <c r="F68" i="1"/>
  <c r="F58" i="1"/>
  <c r="F66" i="1"/>
  <c r="F44" i="1"/>
  <c r="F6" i="1"/>
  <c r="F51" i="1"/>
  <c r="F54" i="1"/>
  <c r="F21" i="1"/>
  <c r="F16" i="1"/>
  <c r="F69" i="1"/>
  <c r="F11" i="1"/>
  <c r="F61" i="1"/>
  <c r="F42" i="1"/>
  <c r="F56" i="1"/>
  <c r="F18" i="1"/>
  <c r="F48" i="1"/>
  <c r="F31" i="1"/>
  <c r="F70" i="1"/>
  <c r="F50" i="1"/>
  <c r="F46" i="1"/>
  <c r="F36" i="1"/>
  <c r="F59" i="1"/>
  <c r="F57" i="1"/>
  <c r="F7" i="1"/>
  <c r="F20" i="1"/>
  <c r="F30" i="1"/>
  <c r="F52" i="1"/>
  <c r="F33" i="1"/>
  <c r="F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30" authorId="0" shapeId="0" xr:uid="{F46013C4-5DC2-44F0-8A61-75B5790C0A32}">
      <text>
        <r>
          <rPr>
            <sz val="11"/>
            <color indexed="8"/>
            <rFont val="Calibri"/>
          </rPr>
          <t>======
ID#AAAAOtobsqs
a    (2021-09-07 15:42:56)
Υπάρχει στο συστημα iek</t>
        </r>
      </text>
    </comment>
  </commentList>
</comments>
</file>

<file path=xl/sharedStrings.xml><?xml version="1.0" encoding="utf-8"?>
<sst xmlns="http://schemas.openxmlformats.org/spreadsheetml/2006/main" count="426" uniqueCount="240">
  <si>
    <t>Α/Α</t>
  </si>
  <si>
    <t>Επίθετο</t>
  </si>
  <si>
    <t>Όνομα</t>
  </si>
  <si>
    <t>Έτος Γέννησης</t>
  </si>
  <si>
    <t>Διεύθυνση</t>
  </si>
  <si>
    <t>Τηλέφωνο</t>
  </si>
  <si>
    <t>Φύλο</t>
  </si>
  <si>
    <t>Α</t>
  </si>
  <si>
    <t>Γ</t>
  </si>
  <si>
    <t>Βασίλειος</t>
  </si>
  <si>
    <t>Ιωάννης</t>
  </si>
  <si>
    <t>Παναγιώτης</t>
  </si>
  <si>
    <t>Άνδρες</t>
  </si>
  <si>
    <t>Γυναίκες</t>
  </si>
  <si>
    <t>Ηλικία</t>
  </si>
  <si>
    <t>Χρήστος</t>
  </si>
  <si>
    <t>Συνέντευξη</t>
  </si>
  <si>
    <t>Τμήμα</t>
  </si>
  <si>
    <t>ROMA</t>
  </si>
  <si>
    <t>Επάγγελμα</t>
  </si>
  <si>
    <t>Άνεργος</t>
  </si>
  <si>
    <t>Εργαζόμενος</t>
  </si>
  <si>
    <t>Νικόλαος</t>
  </si>
  <si>
    <t>Γεώργιος</t>
  </si>
  <si>
    <t>Ηλικίες</t>
  </si>
  <si>
    <t>Κωνσταντίνος</t>
  </si>
  <si>
    <t>Παιδια</t>
  </si>
  <si>
    <t>Α.Μ.</t>
  </si>
  <si>
    <t>Τίτλος</t>
  </si>
  <si>
    <t>Γέννησης</t>
  </si>
  <si>
    <t>Ταυτότητα</t>
  </si>
  <si>
    <t>ΑΜΕΑ</t>
  </si>
  <si>
    <t>Μετανάστης</t>
  </si>
  <si>
    <t>Αυτοαπασχολούμενος</t>
  </si>
  <si>
    <t>ΑΦΜ</t>
  </si>
  <si>
    <t>ΑΜΚΑ</t>
  </si>
  <si>
    <t>Πατρώνυμο</t>
  </si>
  <si>
    <t>Ανδρέας</t>
  </si>
  <si>
    <t>Φώτιος</t>
  </si>
  <si>
    <t>Δημήτριος</t>
  </si>
  <si>
    <t>ΝΑΙ</t>
  </si>
  <si>
    <t>Ευηνοχώρι</t>
  </si>
  <si>
    <t>Νεοχώρι</t>
  </si>
  <si>
    <t>Μεσολόγγι</t>
  </si>
  <si>
    <t>Κατοχή</t>
  </si>
  <si>
    <t>Αθανάσιος</t>
  </si>
  <si>
    <t>Ελένη</t>
  </si>
  <si>
    <t>Αλέξανδρος</t>
  </si>
  <si>
    <t>Χαράλαμπος</t>
  </si>
  <si>
    <t>Φωτεινή</t>
  </si>
  <si>
    <t>Μακρή</t>
  </si>
  <si>
    <t>Θεώνη</t>
  </si>
  <si>
    <t>Παντελής</t>
  </si>
  <si>
    <t>Αικατερίνη</t>
  </si>
  <si>
    <t>Γεράσιμος</t>
  </si>
  <si>
    <t>Αιτωλικό</t>
  </si>
  <si>
    <t>Αριστοπούλου</t>
  </si>
  <si>
    <t>Γκούβρα</t>
  </si>
  <si>
    <t>Ξανθή</t>
  </si>
  <si>
    <t>Γκούβρας</t>
  </si>
  <si>
    <t>Καπώνης</t>
  </si>
  <si>
    <t>Καρατζογιάννης</t>
  </si>
  <si>
    <t>Κονταρή</t>
  </si>
  <si>
    <t>Αλεξάνδρα</t>
  </si>
  <si>
    <t>Κρεμμύδας</t>
  </si>
  <si>
    <t>Ελευθέριος</t>
  </si>
  <si>
    <t>Μαντέλος</t>
  </si>
  <si>
    <t>Λάμπρος</t>
  </si>
  <si>
    <t>Μαρκόπουλος</t>
  </si>
  <si>
    <t>Μάτσικας</t>
  </si>
  <si>
    <t>Μουλάρας</t>
  </si>
  <si>
    <t>Μπασιλάρη</t>
  </si>
  <si>
    <t>Μαρία-Μαλεβή</t>
  </si>
  <si>
    <t>Μπουργαζά</t>
  </si>
  <si>
    <t>Αρτεμησία</t>
  </si>
  <si>
    <t>Σταθέλος</t>
  </si>
  <si>
    <t>Συμεών</t>
  </si>
  <si>
    <t>Τάτση</t>
  </si>
  <si>
    <t>Αρετή</t>
  </si>
  <si>
    <t>Τριανταφυλλόπουλος</t>
  </si>
  <si>
    <t>Τσιάρα</t>
  </si>
  <si>
    <t>Ηρακλής</t>
  </si>
  <si>
    <t>Τσόρτος</t>
  </si>
  <si>
    <t>Φαρμάκη</t>
  </si>
  <si>
    <t>Σωτήριος</t>
  </si>
  <si>
    <t>Plastiras</t>
  </si>
  <si>
    <t>Marsila</t>
  </si>
  <si>
    <t>Azem</t>
  </si>
  <si>
    <t>Βασιλάρη</t>
  </si>
  <si>
    <t>Παναγιώτα - Βαρβάρα</t>
  </si>
  <si>
    <t>Ζαραλίγκα</t>
  </si>
  <si>
    <t>Μαρίνα</t>
  </si>
  <si>
    <t>ΑΟΠ</t>
  </si>
  <si>
    <t>Κατσαβός</t>
  </si>
  <si>
    <t>Κουλιαμπά</t>
  </si>
  <si>
    <t>Μαρία</t>
  </si>
  <si>
    <t>Ματσάγγας</t>
  </si>
  <si>
    <t>Μουλάς</t>
  </si>
  <si>
    <t>Γεώργιος - Δούκας</t>
  </si>
  <si>
    <t>Μπέκος</t>
  </si>
  <si>
    <t>Θεράπων</t>
  </si>
  <si>
    <t>Μπέκου</t>
  </si>
  <si>
    <t>Καλίτσα</t>
  </si>
  <si>
    <t>Νικάκη</t>
  </si>
  <si>
    <t>Κωστούλα</t>
  </si>
  <si>
    <t>Πανόπουλος</t>
  </si>
  <si>
    <t>Πλαστήρας</t>
  </si>
  <si>
    <t>Στράτος</t>
  </si>
  <si>
    <t>Τρικαλινού</t>
  </si>
  <si>
    <t>Βασιλική</t>
  </si>
  <si>
    <t>6941431306 - 2632301404</t>
  </si>
  <si>
    <t>A2</t>
  </si>
  <si>
    <t>29038803382</t>
  </si>
  <si>
    <t>BO5410756</t>
  </si>
  <si>
    <t>Ταμπακιαριά, Άγ. Παύλος, Μεσολόγγι</t>
  </si>
  <si>
    <t>A1</t>
  </si>
  <si>
    <t>127417700</t>
  </si>
  <si>
    <t>22088202225</t>
  </si>
  <si>
    <t>ΑΟ701598</t>
  </si>
  <si>
    <t>Συνοικισμός Μάννα</t>
  </si>
  <si>
    <t>048135859</t>
  </si>
  <si>
    <t>06117702735</t>
  </si>
  <si>
    <t>Χ776083</t>
  </si>
  <si>
    <t>049088262</t>
  </si>
  <si>
    <t>31077603368</t>
  </si>
  <si>
    <t>ΑΡ602937</t>
  </si>
  <si>
    <t>135955110</t>
  </si>
  <si>
    <t>05078102950</t>
  </si>
  <si>
    <t>Τ235173</t>
  </si>
  <si>
    <t>6948814960 - 2632301321</t>
  </si>
  <si>
    <t>135984056</t>
  </si>
  <si>
    <t>17118702673</t>
  </si>
  <si>
    <t>ΑΝ795914</t>
  </si>
  <si>
    <t>Ναυπάκτου 191</t>
  </si>
  <si>
    <t>6943748611 - 2631500184</t>
  </si>
  <si>
    <t>196224748</t>
  </si>
  <si>
    <t>03120600295</t>
  </si>
  <si>
    <t>ΑΡ299291</t>
  </si>
  <si>
    <t>Πλατάνια Μάστρου</t>
  </si>
  <si>
    <t>06045900427</t>
  </si>
  <si>
    <t>Α00325544</t>
  </si>
  <si>
    <t>Κύπρου 50, Μεσολόγγι</t>
  </si>
  <si>
    <t>6946360183 - 2631025586</t>
  </si>
  <si>
    <t>135992269</t>
  </si>
  <si>
    <t>21046704546</t>
  </si>
  <si>
    <t>Μ535006</t>
  </si>
  <si>
    <t>Θυσίας 30, Μεσολόγγι</t>
  </si>
  <si>
    <t>128427725</t>
  </si>
  <si>
    <t>22028201873</t>
  </si>
  <si>
    <t>Τ281155</t>
  </si>
  <si>
    <t>00301718802</t>
  </si>
  <si>
    <t>31086400145</t>
  </si>
  <si>
    <t>Μ536220</t>
  </si>
  <si>
    <t>Μάννας 49</t>
  </si>
  <si>
    <t>047482221</t>
  </si>
  <si>
    <t>Χ270043</t>
  </si>
  <si>
    <t>077138920</t>
  </si>
  <si>
    <t>09107203823</t>
  </si>
  <si>
    <t>ΑΕ244098</t>
  </si>
  <si>
    <t>164518223</t>
  </si>
  <si>
    <t>10069602976</t>
  </si>
  <si>
    <t>ΑΚ393788</t>
  </si>
  <si>
    <t>Κεφαλόβρυσο</t>
  </si>
  <si>
    <t>6980420520 - 2632023104</t>
  </si>
  <si>
    <t>135975802</t>
  </si>
  <si>
    <t>20028600755</t>
  </si>
  <si>
    <t>Χ777010</t>
  </si>
  <si>
    <t>Μάστρο</t>
  </si>
  <si>
    <t>301734967</t>
  </si>
  <si>
    <t>25118002572</t>
  </si>
  <si>
    <t>Σ350898</t>
  </si>
  <si>
    <t>Κώστα Κατσή 9</t>
  </si>
  <si>
    <t>129506704</t>
  </si>
  <si>
    <t>10058101758</t>
  </si>
  <si>
    <t>ΑΕ438873</t>
  </si>
  <si>
    <t>127401505</t>
  </si>
  <si>
    <t>12098304533</t>
  </si>
  <si>
    <t>Α01061100</t>
  </si>
  <si>
    <t>Χρ. Καψάλη, Μεσολόγγι</t>
  </si>
  <si>
    <t>146384282</t>
  </si>
  <si>
    <t>ΑΟ926029</t>
  </si>
  <si>
    <t>Μπελογιάννη 78, Μεσολόγγι</t>
  </si>
  <si>
    <t>132025053</t>
  </si>
  <si>
    <t>22118403389</t>
  </si>
  <si>
    <t>ΑΝ793842</t>
  </si>
  <si>
    <t>301726088</t>
  </si>
  <si>
    <t>22027105224</t>
  </si>
  <si>
    <t>Α506939</t>
  </si>
  <si>
    <t>048145564</t>
  </si>
  <si>
    <t>Α01782221</t>
  </si>
  <si>
    <t>6955795146 - 2632301404</t>
  </si>
  <si>
    <t>079521522</t>
  </si>
  <si>
    <t>20037601372</t>
  </si>
  <si>
    <t>ΑΗ718593</t>
  </si>
  <si>
    <t>Μπελογιάννη 64, Μεσολόγγι</t>
  </si>
  <si>
    <t>6980106735 - 2631051124</t>
  </si>
  <si>
    <t>078875180</t>
  </si>
  <si>
    <t>21017303351</t>
  </si>
  <si>
    <t>Π102490</t>
  </si>
  <si>
    <t>301713923</t>
  </si>
  <si>
    <t>28018105172</t>
  </si>
  <si>
    <t>Α00282199</t>
  </si>
  <si>
    <t>Φιλελλήνων 58</t>
  </si>
  <si>
    <t>065837820</t>
  </si>
  <si>
    <t>09087800042</t>
  </si>
  <si>
    <t>ΑΜ623054</t>
  </si>
  <si>
    <t>065557913</t>
  </si>
  <si>
    <t>20017500032</t>
  </si>
  <si>
    <t>ΑΚ352549</t>
  </si>
  <si>
    <t>Αγ. Θωμάς Μεσολογγίου</t>
  </si>
  <si>
    <t>078423639</t>
  </si>
  <si>
    <t>08087301605</t>
  </si>
  <si>
    <t>ΑΟ294718</t>
  </si>
  <si>
    <t>Κολοκυθιές 48, Μεσολόγγι</t>
  </si>
  <si>
    <t>6945543898 - 6976151039</t>
  </si>
  <si>
    <t>065557869</t>
  </si>
  <si>
    <t>28117700097</t>
  </si>
  <si>
    <t>Ρ233174</t>
  </si>
  <si>
    <t>Μούρκα 4, Μεσολόγγι</t>
  </si>
  <si>
    <t>146373452</t>
  </si>
  <si>
    <t>14058004863</t>
  </si>
  <si>
    <t>ΑΡ602778</t>
  </si>
  <si>
    <t>Άνεργη</t>
  </si>
  <si>
    <t>166952220</t>
  </si>
  <si>
    <t>22109603484</t>
  </si>
  <si>
    <t>ΑΝ795335</t>
  </si>
  <si>
    <t>ΑΖ719946</t>
  </si>
  <si>
    <t>135959076</t>
  </si>
  <si>
    <t>04078701093</t>
  </si>
  <si>
    <t>Χ776977</t>
  </si>
  <si>
    <t>Καψάλη, Μεσολόγγι</t>
  </si>
  <si>
    <t>150168465</t>
  </si>
  <si>
    <t>19049003684</t>
  </si>
  <si>
    <t>ΑΚ341909</t>
  </si>
  <si>
    <t>Καψάλη 6</t>
  </si>
  <si>
    <t>23089702395</t>
  </si>
  <si>
    <t>ΑΟ701619</t>
  </si>
  <si>
    <t>151346710</t>
  </si>
  <si>
    <t>22080203106</t>
  </si>
  <si>
    <t>ΑΟ471851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</si>
</sst>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0" fontId="0" fillId="0" borderId="2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0" xfId="0" applyFill="1"/>
    <xf numFmtId="0" fontId="0" fillId="0" borderId="0" xfId="0" applyAlignment="1">
      <alignment horizontal="center"/>
    </xf>
    <xf numFmtId="0" fontId="0" fillId="0" borderId="5" xfId="0" applyBorder="1"/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49" fontId="0" fillId="0" borderId="0" xfId="0" applyNumberFormat="1"/>
    <xf numFmtId="49" fontId="2" fillId="2" borderId="4" xfId="0" applyNumberFormat="1" applyFont="1" applyFill="1" applyBorder="1" applyAlignment="1">
      <alignment horizontal="center"/>
    </xf>
    <xf numFmtId="49" fontId="0" fillId="0" borderId="8" xfId="0" applyNumberFormat="1" applyBorder="1"/>
    <xf numFmtId="49" fontId="0" fillId="0" borderId="8" xfId="0" applyNumberFormat="1" applyBorder="1" applyAlignment="1">
      <alignment horizontal="center"/>
    </xf>
    <xf numFmtId="49" fontId="0" fillId="0" borderId="8" xfId="0" applyNumberFormat="1" applyBorder="1" applyAlignment="1">
      <alignment wrapText="1"/>
    </xf>
    <xf numFmtId="0" fontId="0" fillId="0" borderId="8" xfId="0" quotePrefix="1" applyBorder="1"/>
    <xf numFmtId="0" fontId="3" fillId="0" borderId="9" xfId="0" applyFont="1" applyBorder="1"/>
    <xf numFmtId="0" fontId="3" fillId="0" borderId="9" xfId="0" applyFont="1" applyBorder="1" applyAlignment="1">
      <alignment horizontal="right"/>
    </xf>
    <xf numFmtId="49" fontId="3" fillId="0" borderId="9" xfId="0" applyNumberFormat="1" applyFont="1" applyBorder="1"/>
    <xf numFmtId="0" fontId="3" fillId="0" borderId="9" xfId="0" applyFont="1" applyBorder="1" applyAlignment="1">
      <alignment horizontal="left"/>
    </xf>
    <xf numFmtId="0" fontId="3" fillId="0" borderId="0" xfId="0" applyFont="1" applyBorder="1"/>
    <xf numFmtId="0" fontId="3" fillId="0" borderId="10" xfId="0" applyFont="1" applyBorder="1"/>
    <xf numFmtId="0" fontId="3" fillId="0" borderId="9" xfId="0" applyFont="1" applyBorder="1" applyAlignment="1">
      <alignment horizontal="center"/>
    </xf>
    <xf numFmtId="49" fontId="3" fillId="0" borderId="9" xfId="0" quotePrefix="1" applyNumberFormat="1" applyFont="1" applyBorder="1"/>
    <xf numFmtId="0" fontId="4" fillId="0" borderId="9" xfId="0" applyFont="1" applyBorder="1" applyAlignment="1">
      <alignment horizontal="right"/>
    </xf>
    <xf numFmtId="0" fontId="3" fillId="0" borderId="9" xfId="0" quotePrefix="1" applyFont="1" applyBorder="1" applyAlignment="1">
      <alignment horizontal="right"/>
    </xf>
    <xf numFmtId="0" fontId="3" fillId="0" borderId="0" xfId="0" applyFont="1"/>
    <xf numFmtId="49" fontId="3" fillId="0" borderId="0" xfId="0" applyNumberFormat="1" applyFont="1" applyBorder="1"/>
    <xf numFmtId="0" fontId="3" fillId="3" borderId="9" xfId="0" applyFont="1" applyFill="1" applyBorder="1"/>
    <xf numFmtId="49" fontId="3" fillId="0" borderId="9" xfId="0" applyNumberFormat="1" applyFont="1" applyBorder="1" applyAlignment="1">
      <alignment horizontal="center"/>
    </xf>
    <xf numFmtId="49" fontId="3" fillId="0" borderId="9" xfId="0" quotePrefix="1" applyNumberFormat="1" applyFont="1" applyBorder="1" applyAlignment="1">
      <alignment horizontal="left"/>
    </xf>
    <xf numFmtId="49" fontId="3" fillId="0" borderId="9" xfId="0" applyNumberFormat="1" applyFont="1" applyBorder="1" applyAlignment="1">
      <alignment horizontal="left"/>
    </xf>
    <xf numFmtId="0" fontId="3" fillId="0" borderId="11" xfId="0" applyFont="1" applyBorder="1"/>
    <xf numFmtId="0" fontId="3" fillId="0" borderId="0" xfId="0" applyFont="1" applyBorder="1" applyAlignment="1">
      <alignment horizontal="righ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9" xfId="0" applyFont="1" applyBorder="1" applyAlignment="1"/>
    <xf numFmtId="0" fontId="3" fillId="0" borderId="9" xfId="0" quotePrefix="1" applyFont="1" applyBorder="1"/>
    <xf numFmtId="0" fontId="3" fillId="0" borderId="12" xfId="0" applyFont="1" applyBorder="1" applyAlignment="1">
      <alignment horizontal="left"/>
    </xf>
    <xf numFmtId="49" fontId="3" fillId="0" borderId="0" xfId="0" applyNumberFormat="1" applyFont="1" applyBorder="1" applyAlignment="1">
      <alignment horizontal="center"/>
    </xf>
    <xf numFmtId="49" fontId="3" fillId="0" borderId="9" xfId="0" applyNumberFormat="1" applyFont="1" applyBorder="1" applyAlignment="1"/>
    <xf numFmtId="49" fontId="3" fillId="0" borderId="0" xfId="0" quotePrefix="1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249B-890E-4F87-8AF4-CE2457A63052}">
  <sheetPr>
    <pageSetUpPr fitToPage="1"/>
  </sheetPr>
  <dimension ref="A1:U73"/>
  <sheetViews>
    <sheetView tabSelected="1" zoomScale="70" zoomScaleNormal="70" zoomScalePageLayoutView="70" workbookViewId="0">
      <selection activeCell="D17" sqref="D17"/>
    </sheetView>
  </sheetViews>
  <sheetFormatPr defaultRowHeight="15.05" x14ac:dyDescent="0.3"/>
  <cols>
    <col min="1" max="1" width="4.44140625" bestFit="1" customWidth="1"/>
    <col min="2" max="2" width="18.33203125" bestFit="1" customWidth="1"/>
    <col min="3" max="3" width="14.44140625" bestFit="1" customWidth="1"/>
    <col min="4" max="4" width="15.6640625" customWidth="1"/>
    <col min="5" max="5" width="13.44140625" customWidth="1"/>
    <col min="6" max="6" width="6.88671875" customWidth="1"/>
    <col min="7" max="7" width="33.33203125" customWidth="1"/>
    <col min="8" max="8" width="40.109375" customWidth="1"/>
    <col min="9" max="9" width="6" bestFit="1" customWidth="1"/>
    <col min="11" max="11" width="6.6640625" bestFit="1" customWidth="1"/>
    <col min="12" max="12" width="14.44140625" customWidth="1"/>
    <col min="13" max="13" width="15.6640625" customWidth="1"/>
    <col min="14" max="14" width="8.44140625" customWidth="1"/>
    <col min="15" max="15" width="7.33203125" bestFit="1" customWidth="1"/>
    <col min="16" max="17" width="16.109375" style="12" customWidth="1"/>
    <col min="18" max="18" width="22.6640625" style="7" customWidth="1"/>
    <col min="19" max="20" width="8.88671875" style="7" customWidth="1"/>
    <col min="21" max="21" width="28.88671875" customWidth="1"/>
  </cols>
  <sheetData>
    <row r="1" spans="1:21" x14ac:dyDescent="0.3">
      <c r="E1">
        <f ca="1">YEAR(TODAY())</f>
        <v>2026</v>
      </c>
      <c r="G1" s="2" t="s">
        <v>8</v>
      </c>
      <c r="H1" t="s">
        <v>12</v>
      </c>
      <c r="I1">
        <f>COUNTIF(I4:I42,"Α")</f>
        <v>20</v>
      </c>
      <c r="M1" s="2" t="s">
        <v>18</v>
      </c>
      <c r="N1" s="2" t="s">
        <v>32</v>
      </c>
    </row>
    <row r="2" spans="1:21" x14ac:dyDescent="0.3">
      <c r="G2" s="2" t="s">
        <v>7</v>
      </c>
      <c r="H2" t="s">
        <v>13</v>
      </c>
      <c r="I2">
        <f>COUNTIF(I4:I42,"Γ")</f>
        <v>16</v>
      </c>
      <c r="J2" s="8">
        <f>COUNTIF(J4:J42,"NAI")</f>
        <v>0</v>
      </c>
      <c r="M2" s="3" t="s">
        <v>31</v>
      </c>
    </row>
    <row r="3" spans="1:21" x14ac:dyDescent="0.3">
      <c r="A3" s="4" t="s">
        <v>0</v>
      </c>
      <c r="B3" s="5" t="s">
        <v>1</v>
      </c>
      <c r="C3" s="5" t="s">
        <v>2</v>
      </c>
      <c r="D3" s="5" t="s">
        <v>36</v>
      </c>
      <c r="E3" s="5" t="s">
        <v>3</v>
      </c>
      <c r="F3" s="5" t="s">
        <v>14</v>
      </c>
      <c r="G3" s="5" t="s">
        <v>4</v>
      </c>
      <c r="H3" s="5" t="s">
        <v>5</v>
      </c>
      <c r="I3" s="5" t="s">
        <v>6</v>
      </c>
      <c r="J3" s="5" t="s">
        <v>16</v>
      </c>
      <c r="K3" s="5" t="s">
        <v>17</v>
      </c>
      <c r="L3" s="5" t="s">
        <v>19</v>
      </c>
      <c r="M3" s="9">
        <f>COUNTIF(M4:M42,"ROMA")</f>
        <v>9</v>
      </c>
      <c r="N3" s="9" t="s">
        <v>27</v>
      </c>
      <c r="O3" s="9" t="s">
        <v>26</v>
      </c>
      <c r="P3" s="9" t="s">
        <v>34</v>
      </c>
      <c r="Q3" s="13" t="s">
        <v>35</v>
      </c>
      <c r="R3" s="9" t="s">
        <v>28</v>
      </c>
      <c r="S3" s="9" t="s">
        <v>29</v>
      </c>
      <c r="T3" s="10" t="s">
        <v>30</v>
      </c>
      <c r="U3" s="11" t="s">
        <v>24</v>
      </c>
    </row>
    <row r="4" spans="1:21" x14ac:dyDescent="0.3">
      <c r="A4" s="1">
        <v>1</v>
      </c>
      <c r="B4" s="18" t="s">
        <v>85</v>
      </c>
      <c r="C4" s="18" t="s">
        <v>86</v>
      </c>
      <c r="D4" s="18" t="s">
        <v>87</v>
      </c>
      <c r="E4" s="18">
        <v>1988</v>
      </c>
      <c r="F4" s="18">
        <f t="shared" ref="F4:F44" ca="1" si="0">$E$1-E4</f>
        <v>38</v>
      </c>
      <c r="G4" s="18" t="s">
        <v>44</v>
      </c>
      <c r="H4" s="19" t="s">
        <v>110</v>
      </c>
      <c r="I4" s="18" t="s">
        <v>8</v>
      </c>
      <c r="J4" s="18" t="s">
        <v>40</v>
      </c>
      <c r="K4" s="18" t="s">
        <v>111</v>
      </c>
      <c r="L4" s="30" t="s">
        <v>33</v>
      </c>
      <c r="M4" s="18"/>
      <c r="N4" s="18">
        <v>281</v>
      </c>
      <c r="O4" s="18"/>
      <c r="P4" s="20">
        <v>158192080</v>
      </c>
      <c r="Q4" s="20" t="s">
        <v>112</v>
      </c>
      <c r="R4" s="31"/>
      <c r="S4" s="24"/>
      <c r="T4" s="21" t="s">
        <v>113</v>
      </c>
      <c r="U4" s="14"/>
    </row>
    <row r="5" spans="1:21" x14ac:dyDescent="0.3">
      <c r="A5" s="1">
        <v>2</v>
      </c>
      <c r="B5" s="34" t="s">
        <v>56</v>
      </c>
      <c r="C5" s="34" t="s">
        <v>49</v>
      </c>
      <c r="D5" s="18" t="s">
        <v>10</v>
      </c>
      <c r="E5" s="18">
        <v>1982</v>
      </c>
      <c r="F5" s="18">
        <f t="shared" ca="1" si="0"/>
        <v>44</v>
      </c>
      <c r="G5" s="18" t="s">
        <v>114</v>
      </c>
      <c r="H5" s="19">
        <v>6942553721</v>
      </c>
      <c r="I5" s="18" t="s">
        <v>8</v>
      </c>
      <c r="J5" s="18" t="s">
        <v>40</v>
      </c>
      <c r="K5" s="18" t="s">
        <v>115</v>
      </c>
      <c r="L5" s="30" t="s">
        <v>21</v>
      </c>
      <c r="M5" s="18" t="s">
        <v>18</v>
      </c>
      <c r="N5" s="18">
        <v>282</v>
      </c>
      <c r="O5" s="18"/>
      <c r="P5" s="20" t="s">
        <v>116</v>
      </c>
      <c r="Q5" s="32" t="s">
        <v>117</v>
      </c>
      <c r="R5" s="31"/>
      <c r="S5" s="31"/>
      <c r="T5" s="21" t="s">
        <v>118</v>
      </c>
      <c r="U5" s="14"/>
    </row>
    <row r="6" spans="1:21" x14ac:dyDescent="0.3">
      <c r="A6" s="1">
        <v>3</v>
      </c>
      <c r="B6" s="18" t="s">
        <v>59</v>
      </c>
      <c r="C6" s="18" t="s">
        <v>25</v>
      </c>
      <c r="D6" s="18" t="s">
        <v>11</v>
      </c>
      <c r="E6" s="18">
        <v>1977</v>
      </c>
      <c r="F6" s="18">
        <f t="shared" ca="1" si="0"/>
        <v>49</v>
      </c>
      <c r="G6" s="18" t="s">
        <v>119</v>
      </c>
      <c r="H6" s="19">
        <v>6984668325</v>
      </c>
      <c r="I6" s="18" t="s">
        <v>7</v>
      </c>
      <c r="J6" s="18" t="s">
        <v>40</v>
      </c>
      <c r="K6" s="18" t="s">
        <v>115</v>
      </c>
      <c r="L6" s="18" t="s">
        <v>20</v>
      </c>
      <c r="M6" s="18"/>
      <c r="N6" s="39">
        <v>283</v>
      </c>
      <c r="O6" s="18"/>
      <c r="P6" s="40" t="s">
        <v>120</v>
      </c>
      <c r="Q6" s="20" t="s">
        <v>121</v>
      </c>
      <c r="R6" s="18"/>
      <c r="S6" s="18"/>
      <c r="T6" s="21" t="s">
        <v>122</v>
      </c>
      <c r="U6" s="16"/>
    </row>
    <row r="7" spans="1:21" x14ac:dyDescent="0.3">
      <c r="A7" s="1">
        <v>4</v>
      </c>
      <c r="B7" s="18" t="s">
        <v>57</v>
      </c>
      <c r="C7" s="18" t="s">
        <v>58</v>
      </c>
      <c r="D7" s="18" t="s">
        <v>11</v>
      </c>
      <c r="E7" s="18">
        <v>1976</v>
      </c>
      <c r="F7" s="18">
        <f t="shared" ca="1" si="0"/>
        <v>50</v>
      </c>
      <c r="G7" s="39" t="s">
        <v>119</v>
      </c>
      <c r="H7" s="39">
        <v>6975101480</v>
      </c>
      <c r="I7" s="39" t="s">
        <v>8</v>
      </c>
      <c r="J7" s="39" t="s">
        <v>40</v>
      </c>
      <c r="K7" s="18" t="s">
        <v>115</v>
      </c>
      <c r="L7" s="39" t="s">
        <v>21</v>
      </c>
      <c r="M7" s="18"/>
      <c r="N7" s="39">
        <v>284</v>
      </c>
      <c r="O7" s="18"/>
      <c r="P7" s="21" t="s">
        <v>123</v>
      </c>
      <c r="Q7" s="43" t="s">
        <v>124</v>
      </c>
      <c r="R7" s="18"/>
      <c r="S7" s="18"/>
      <c r="T7" s="39" t="s">
        <v>125</v>
      </c>
      <c r="U7" s="14"/>
    </row>
    <row r="8" spans="1:21" x14ac:dyDescent="0.3">
      <c r="A8" s="1">
        <v>5</v>
      </c>
      <c r="B8" s="18" t="s">
        <v>60</v>
      </c>
      <c r="C8" s="18" t="s">
        <v>15</v>
      </c>
      <c r="D8" s="18" t="s">
        <v>23</v>
      </c>
      <c r="E8" s="18">
        <v>1978</v>
      </c>
      <c r="F8" s="18">
        <f t="shared" ca="1" si="0"/>
        <v>48</v>
      </c>
      <c r="G8" s="18"/>
      <c r="H8" s="18">
        <v>6986573117</v>
      </c>
      <c r="I8" s="18" t="s">
        <v>7</v>
      </c>
      <c r="J8" s="18" t="s">
        <v>40</v>
      </c>
      <c r="K8" s="18" t="s">
        <v>115</v>
      </c>
      <c r="L8" s="18" t="s">
        <v>20</v>
      </c>
      <c r="M8" s="18"/>
      <c r="N8" s="18">
        <v>285</v>
      </c>
      <c r="O8" s="18"/>
      <c r="P8" s="21" t="s">
        <v>126</v>
      </c>
      <c r="Q8" s="20" t="s">
        <v>127</v>
      </c>
      <c r="R8" s="18"/>
      <c r="S8" s="18"/>
      <c r="T8" s="18" t="s">
        <v>128</v>
      </c>
      <c r="U8" s="14"/>
    </row>
    <row r="9" spans="1:21" x14ac:dyDescent="0.3">
      <c r="A9" s="1">
        <v>6</v>
      </c>
      <c r="B9" s="18" t="s">
        <v>61</v>
      </c>
      <c r="C9" s="18" t="s">
        <v>15</v>
      </c>
      <c r="D9" s="18" t="s">
        <v>10</v>
      </c>
      <c r="E9" s="18">
        <v>1987</v>
      </c>
      <c r="F9" s="18">
        <f t="shared" ca="1" si="0"/>
        <v>39</v>
      </c>
      <c r="G9" s="18" t="s">
        <v>42</v>
      </c>
      <c r="H9" s="19" t="s">
        <v>129</v>
      </c>
      <c r="I9" s="18" t="s">
        <v>7</v>
      </c>
      <c r="J9" s="18" t="s">
        <v>40</v>
      </c>
      <c r="K9" s="18" t="s">
        <v>115</v>
      </c>
      <c r="L9" s="18" t="s">
        <v>33</v>
      </c>
      <c r="M9" s="18"/>
      <c r="N9" s="18">
        <v>286</v>
      </c>
      <c r="O9" s="18"/>
      <c r="P9" s="20" t="s">
        <v>130</v>
      </c>
      <c r="Q9" s="33" t="s">
        <v>131</v>
      </c>
      <c r="R9" s="24"/>
      <c r="S9" s="24"/>
      <c r="T9" s="21" t="s">
        <v>132</v>
      </c>
      <c r="U9" s="14"/>
    </row>
    <row r="10" spans="1:21" x14ac:dyDescent="0.3">
      <c r="A10" s="1">
        <v>7</v>
      </c>
      <c r="B10" s="18" t="s">
        <v>93</v>
      </c>
      <c r="C10" s="18" t="s">
        <v>9</v>
      </c>
      <c r="D10" s="18" t="s">
        <v>39</v>
      </c>
      <c r="E10" s="18">
        <v>2006</v>
      </c>
      <c r="F10" s="18">
        <f t="shared" ca="1" si="0"/>
        <v>20</v>
      </c>
      <c r="G10" s="18" t="s">
        <v>133</v>
      </c>
      <c r="H10" s="19" t="s">
        <v>134</v>
      </c>
      <c r="I10" s="18" t="s">
        <v>7</v>
      </c>
      <c r="J10" s="18" t="s">
        <v>40</v>
      </c>
      <c r="K10" s="18" t="s">
        <v>111</v>
      </c>
      <c r="L10" s="18" t="s">
        <v>20</v>
      </c>
      <c r="M10" s="18"/>
      <c r="N10" s="18">
        <v>287</v>
      </c>
      <c r="O10" s="18"/>
      <c r="P10" s="20" t="s">
        <v>135</v>
      </c>
      <c r="Q10" s="33" t="s">
        <v>136</v>
      </c>
      <c r="R10" s="31"/>
      <c r="S10" s="31"/>
      <c r="T10" s="21" t="s">
        <v>137</v>
      </c>
      <c r="U10" s="14"/>
    </row>
    <row r="11" spans="1:21" x14ac:dyDescent="0.3">
      <c r="A11" s="1">
        <v>8</v>
      </c>
      <c r="B11" s="18" t="s">
        <v>62</v>
      </c>
      <c r="C11" s="18" t="s">
        <v>63</v>
      </c>
      <c r="D11" s="18" t="s">
        <v>23</v>
      </c>
      <c r="E11" s="18">
        <v>1959</v>
      </c>
      <c r="F11" s="18">
        <f t="shared" ca="1" si="0"/>
        <v>67</v>
      </c>
      <c r="G11" s="34" t="s">
        <v>138</v>
      </c>
      <c r="H11" s="35">
        <v>6947846125</v>
      </c>
      <c r="I11" s="18" t="s">
        <v>8</v>
      </c>
      <c r="J11" s="18" t="s">
        <v>40</v>
      </c>
      <c r="K11" s="18" t="s">
        <v>115</v>
      </c>
      <c r="L11" s="18" t="s">
        <v>20</v>
      </c>
      <c r="M11" s="22"/>
      <c r="N11" s="18">
        <v>288</v>
      </c>
      <c r="O11" s="22"/>
      <c r="P11" s="29">
        <v>135958290</v>
      </c>
      <c r="Q11" s="36" t="s">
        <v>139</v>
      </c>
      <c r="R11" s="31"/>
      <c r="S11" s="42"/>
      <c r="T11" s="38" t="s">
        <v>140</v>
      </c>
      <c r="U11" s="14"/>
    </row>
    <row r="12" spans="1:21" x14ac:dyDescent="0.3">
      <c r="A12" s="1">
        <v>9</v>
      </c>
      <c r="B12" s="34" t="s">
        <v>94</v>
      </c>
      <c r="C12" s="34" t="s">
        <v>53</v>
      </c>
      <c r="D12" s="34" t="s">
        <v>38</v>
      </c>
      <c r="E12" s="34">
        <v>1967</v>
      </c>
      <c r="F12" s="18">
        <f t="shared" ca="1" si="0"/>
        <v>59</v>
      </c>
      <c r="G12" s="18" t="s">
        <v>141</v>
      </c>
      <c r="H12" s="19" t="s">
        <v>142</v>
      </c>
      <c r="I12" s="18" t="s">
        <v>8</v>
      </c>
      <c r="J12" s="18" t="s">
        <v>40</v>
      </c>
      <c r="K12" s="18" t="s">
        <v>111</v>
      </c>
      <c r="L12" s="30" t="s">
        <v>33</v>
      </c>
      <c r="M12" s="18"/>
      <c r="N12" s="18">
        <v>289</v>
      </c>
      <c r="O12" s="18"/>
      <c r="P12" s="20" t="s">
        <v>143</v>
      </c>
      <c r="Q12" s="33" t="s">
        <v>144</v>
      </c>
      <c r="R12" s="31"/>
      <c r="S12" s="24"/>
      <c r="T12" s="21" t="s">
        <v>145</v>
      </c>
      <c r="U12" s="14"/>
    </row>
    <row r="13" spans="1:21" x14ac:dyDescent="0.3">
      <c r="A13" s="1">
        <v>10</v>
      </c>
      <c r="B13" s="34" t="s">
        <v>64</v>
      </c>
      <c r="C13" s="34" t="s">
        <v>65</v>
      </c>
      <c r="D13" s="34" t="s">
        <v>48</v>
      </c>
      <c r="E13" s="34">
        <v>1982</v>
      </c>
      <c r="F13" s="18">
        <f t="shared" ca="1" si="0"/>
        <v>44</v>
      </c>
      <c r="G13" s="18" t="s">
        <v>146</v>
      </c>
      <c r="H13" s="19">
        <v>6940944957</v>
      </c>
      <c r="I13" s="18" t="s">
        <v>7</v>
      </c>
      <c r="J13" s="18" t="s">
        <v>40</v>
      </c>
      <c r="K13" s="18" t="s">
        <v>115</v>
      </c>
      <c r="L13" s="22" t="s">
        <v>21</v>
      </c>
      <c r="M13" s="18"/>
      <c r="N13" s="18">
        <v>290</v>
      </c>
      <c r="O13" s="18"/>
      <c r="P13" s="20" t="s">
        <v>147</v>
      </c>
      <c r="Q13" s="33" t="s">
        <v>148</v>
      </c>
      <c r="R13" s="31"/>
      <c r="S13" s="24"/>
      <c r="T13" s="21" t="s">
        <v>149</v>
      </c>
      <c r="U13" s="14"/>
    </row>
    <row r="14" spans="1:21" x14ac:dyDescent="0.3">
      <c r="A14" s="1">
        <v>11</v>
      </c>
      <c r="B14" s="18" t="s">
        <v>50</v>
      </c>
      <c r="C14" s="18" t="s">
        <v>95</v>
      </c>
      <c r="D14" s="18" t="s">
        <v>15</v>
      </c>
      <c r="E14" s="18">
        <v>1964</v>
      </c>
      <c r="F14" s="18">
        <f t="shared" ca="1" si="0"/>
        <v>62</v>
      </c>
      <c r="G14" s="34" t="s">
        <v>41</v>
      </c>
      <c r="H14" s="22">
        <v>6982392766</v>
      </c>
      <c r="I14" s="18" t="s">
        <v>8</v>
      </c>
      <c r="J14" s="18" t="s">
        <v>40</v>
      </c>
      <c r="K14" s="18" t="s">
        <v>111</v>
      </c>
      <c r="L14" s="18" t="s">
        <v>21</v>
      </c>
      <c r="M14" s="22"/>
      <c r="N14" s="18">
        <v>291</v>
      </c>
      <c r="O14" s="22"/>
      <c r="P14" s="29" t="s">
        <v>150</v>
      </c>
      <c r="Q14" s="36" t="s">
        <v>151</v>
      </c>
      <c r="R14" s="24"/>
      <c r="S14" s="37"/>
      <c r="T14" s="41" t="s">
        <v>152</v>
      </c>
      <c r="U14" s="14"/>
    </row>
    <row r="15" spans="1:21" x14ac:dyDescent="0.3">
      <c r="A15" s="1">
        <v>12</v>
      </c>
      <c r="B15" s="34" t="s">
        <v>66</v>
      </c>
      <c r="C15" s="34" t="s">
        <v>45</v>
      </c>
      <c r="D15" s="34" t="s">
        <v>11</v>
      </c>
      <c r="E15" s="34">
        <v>1967</v>
      </c>
      <c r="F15" s="18">
        <f t="shared" ca="1" si="0"/>
        <v>59</v>
      </c>
      <c r="G15" s="18" t="s">
        <v>153</v>
      </c>
      <c r="H15" s="19">
        <v>6979289237</v>
      </c>
      <c r="I15" s="18" t="s">
        <v>7</v>
      </c>
      <c r="J15" s="18" t="s">
        <v>40</v>
      </c>
      <c r="K15" s="18" t="s">
        <v>115</v>
      </c>
      <c r="L15" s="18" t="s">
        <v>21</v>
      </c>
      <c r="M15" s="18"/>
      <c r="N15" s="18">
        <v>292</v>
      </c>
      <c r="O15" s="18"/>
      <c r="P15" s="20" t="s">
        <v>154</v>
      </c>
      <c r="Q15" s="33"/>
      <c r="R15" s="24"/>
      <c r="S15" s="24"/>
      <c r="T15" s="21" t="s">
        <v>155</v>
      </c>
      <c r="U15" s="14"/>
    </row>
    <row r="16" spans="1:21" x14ac:dyDescent="0.3">
      <c r="A16" s="1">
        <v>13</v>
      </c>
      <c r="B16" s="18" t="s">
        <v>66</v>
      </c>
      <c r="C16" s="18" t="s">
        <v>37</v>
      </c>
      <c r="D16" s="18" t="s">
        <v>67</v>
      </c>
      <c r="E16" s="18">
        <v>1972</v>
      </c>
      <c r="F16" s="18">
        <f t="shared" ca="1" si="0"/>
        <v>54</v>
      </c>
      <c r="G16" s="18" t="s">
        <v>119</v>
      </c>
      <c r="H16" s="18">
        <v>6944652405</v>
      </c>
      <c r="I16" s="18" t="s">
        <v>7</v>
      </c>
      <c r="J16" s="18" t="s">
        <v>40</v>
      </c>
      <c r="K16" s="18" t="s">
        <v>115</v>
      </c>
      <c r="L16" s="18" t="s">
        <v>33</v>
      </c>
      <c r="M16" s="18"/>
      <c r="N16" s="18">
        <v>293</v>
      </c>
      <c r="O16" s="18"/>
      <c r="P16" s="18" t="s">
        <v>156</v>
      </c>
      <c r="Q16" s="20" t="s">
        <v>157</v>
      </c>
      <c r="R16" s="24"/>
      <c r="S16" s="18"/>
      <c r="T16" s="18" t="s">
        <v>158</v>
      </c>
      <c r="U16" s="14"/>
    </row>
    <row r="17" spans="1:21" x14ac:dyDescent="0.3">
      <c r="A17" s="1">
        <v>14</v>
      </c>
      <c r="B17" s="18" t="s">
        <v>68</v>
      </c>
      <c r="C17" s="18" t="s">
        <v>23</v>
      </c>
      <c r="D17" s="18" t="s">
        <v>10</v>
      </c>
      <c r="E17" s="18">
        <v>1996</v>
      </c>
      <c r="F17" s="18">
        <f t="shared" ca="1" si="0"/>
        <v>30</v>
      </c>
      <c r="G17" s="18" t="s">
        <v>55</v>
      </c>
      <c r="H17" s="19">
        <v>6940174719</v>
      </c>
      <c r="I17" s="18" t="s">
        <v>7</v>
      </c>
      <c r="J17" s="18" t="s">
        <v>40</v>
      </c>
      <c r="K17" s="18" t="s">
        <v>115</v>
      </c>
      <c r="L17" s="18" t="s">
        <v>20</v>
      </c>
      <c r="M17" s="18" t="s">
        <v>18</v>
      </c>
      <c r="N17" s="18">
        <v>294</v>
      </c>
      <c r="O17" s="18"/>
      <c r="P17" s="20" t="s">
        <v>159</v>
      </c>
      <c r="Q17" s="33" t="s">
        <v>160</v>
      </c>
      <c r="R17" s="24"/>
      <c r="S17" s="24"/>
      <c r="T17" s="21" t="s">
        <v>161</v>
      </c>
      <c r="U17" s="14"/>
    </row>
    <row r="18" spans="1:21" x14ac:dyDescent="0.3">
      <c r="A18" s="1">
        <v>15</v>
      </c>
      <c r="B18" s="18" t="s">
        <v>96</v>
      </c>
      <c r="C18" s="18" t="s">
        <v>15</v>
      </c>
      <c r="D18" s="18" t="s">
        <v>45</v>
      </c>
      <c r="E18" s="18">
        <v>1986</v>
      </c>
      <c r="F18" s="18">
        <f t="shared" ca="1" si="0"/>
        <v>40</v>
      </c>
      <c r="G18" s="18" t="s">
        <v>162</v>
      </c>
      <c r="H18" s="19" t="s">
        <v>163</v>
      </c>
      <c r="I18" s="18" t="s">
        <v>7</v>
      </c>
      <c r="J18" s="18" t="s">
        <v>40</v>
      </c>
      <c r="K18" s="18" t="s">
        <v>111</v>
      </c>
      <c r="L18" s="30" t="s">
        <v>21</v>
      </c>
      <c r="M18" s="18"/>
      <c r="N18" s="18">
        <v>295</v>
      </c>
      <c r="O18" s="18"/>
      <c r="P18" s="20" t="s">
        <v>164</v>
      </c>
      <c r="Q18" s="20" t="s">
        <v>165</v>
      </c>
      <c r="R18" s="24"/>
      <c r="S18" s="24"/>
      <c r="T18" s="21" t="s">
        <v>166</v>
      </c>
      <c r="U18" s="14"/>
    </row>
    <row r="19" spans="1:21" s="6" customFormat="1" x14ac:dyDescent="0.3">
      <c r="A19" s="1">
        <v>16</v>
      </c>
      <c r="B19" s="18" t="s">
        <v>69</v>
      </c>
      <c r="C19" s="18" t="s">
        <v>15</v>
      </c>
      <c r="D19" s="18" t="s">
        <v>22</v>
      </c>
      <c r="E19" s="18">
        <v>1980</v>
      </c>
      <c r="F19" s="18">
        <f t="shared" ca="1" si="0"/>
        <v>46</v>
      </c>
      <c r="G19" s="18" t="s">
        <v>167</v>
      </c>
      <c r="H19" s="19">
        <v>6944835546</v>
      </c>
      <c r="I19" s="18" t="s">
        <v>7</v>
      </c>
      <c r="J19" s="18" t="s">
        <v>40</v>
      </c>
      <c r="K19" s="18" t="s">
        <v>115</v>
      </c>
      <c r="L19" s="18" t="s">
        <v>33</v>
      </c>
      <c r="M19" s="18"/>
      <c r="N19" s="18">
        <v>296</v>
      </c>
      <c r="O19" s="18"/>
      <c r="P19" s="20" t="s">
        <v>168</v>
      </c>
      <c r="Q19" s="33" t="s">
        <v>169</v>
      </c>
      <c r="R19" s="24"/>
      <c r="S19" s="24"/>
      <c r="T19" s="41" t="s">
        <v>170</v>
      </c>
      <c r="U19" s="14"/>
    </row>
    <row r="20" spans="1:21" x14ac:dyDescent="0.3">
      <c r="A20" s="1">
        <v>17</v>
      </c>
      <c r="B20" s="18" t="s">
        <v>97</v>
      </c>
      <c r="C20" s="18" t="s">
        <v>98</v>
      </c>
      <c r="D20" s="18" t="s">
        <v>39</v>
      </c>
      <c r="E20" s="18">
        <v>1981</v>
      </c>
      <c r="F20" s="18">
        <f t="shared" ca="1" si="0"/>
        <v>45</v>
      </c>
      <c r="G20" s="18" t="s">
        <v>171</v>
      </c>
      <c r="H20" s="19">
        <v>6948623309</v>
      </c>
      <c r="I20" s="18" t="s">
        <v>7</v>
      </c>
      <c r="J20" s="18" t="s">
        <v>40</v>
      </c>
      <c r="K20" s="18" t="s">
        <v>111</v>
      </c>
      <c r="L20" s="18" t="s">
        <v>21</v>
      </c>
      <c r="M20" s="18"/>
      <c r="N20" s="18">
        <v>297</v>
      </c>
      <c r="O20" s="18"/>
      <c r="P20" s="20" t="s">
        <v>172</v>
      </c>
      <c r="Q20" s="33" t="s">
        <v>173</v>
      </c>
      <c r="R20" s="24"/>
      <c r="S20" s="24"/>
      <c r="T20" s="21" t="s">
        <v>174</v>
      </c>
      <c r="U20" s="14"/>
    </row>
    <row r="21" spans="1:21" x14ac:dyDescent="0.3">
      <c r="A21" s="1">
        <v>18</v>
      </c>
      <c r="B21" s="18" t="s">
        <v>99</v>
      </c>
      <c r="C21" s="18" t="s">
        <v>47</v>
      </c>
      <c r="D21" s="18" t="s">
        <v>15</v>
      </c>
      <c r="E21" s="18">
        <v>1983</v>
      </c>
      <c r="F21" s="18">
        <f t="shared" ca="1" si="0"/>
        <v>43</v>
      </c>
      <c r="G21" s="18" t="s">
        <v>43</v>
      </c>
      <c r="H21" s="19">
        <v>6943195517</v>
      </c>
      <c r="I21" s="18" t="s">
        <v>7</v>
      </c>
      <c r="J21" s="18" t="s">
        <v>40</v>
      </c>
      <c r="K21" s="18" t="s">
        <v>111</v>
      </c>
      <c r="L21" s="30" t="s">
        <v>33</v>
      </c>
      <c r="M21" s="18" t="s">
        <v>18</v>
      </c>
      <c r="N21" s="18">
        <v>298</v>
      </c>
      <c r="O21" s="18"/>
      <c r="P21" s="20" t="s">
        <v>175</v>
      </c>
      <c r="Q21" s="33" t="s">
        <v>176</v>
      </c>
      <c r="R21" s="24"/>
      <c r="S21" s="31"/>
      <c r="T21" s="21" t="s">
        <v>177</v>
      </c>
      <c r="U21" s="14"/>
    </row>
    <row r="22" spans="1:21" x14ac:dyDescent="0.3">
      <c r="A22" s="1">
        <v>19</v>
      </c>
      <c r="B22" s="18" t="s">
        <v>99</v>
      </c>
      <c r="C22" s="18" t="s">
        <v>100</v>
      </c>
      <c r="D22" s="18" t="s">
        <v>11</v>
      </c>
      <c r="E22" s="18">
        <v>1990</v>
      </c>
      <c r="F22" s="18">
        <f t="shared" ca="1" si="0"/>
        <v>36</v>
      </c>
      <c r="G22" s="18" t="s">
        <v>178</v>
      </c>
      <c r="H22" s="19">
        <v>6946272015</v>
      </c>
      <c r="I22" s="18" t="s">
        <v>7</v>
      </c>
      <c r="J22" s="18" t="s">
        <v>40</v>
      </c>
      <c r="K22" s="18" t="s">
        <v>111</v>
      </c>
      <c r="L22" s="22" t="s">
        <v>33</v>
      </c>
      <c r="M22" s="18" t="s">
        <v>18</v>
      </c>
      <c r="N22" s="18">
        <v>299</v>
      </c>
      <c r="O22" s="18"/>
      <c r="P22" s="20" t="s">
        <v>179</v>
      </c>
      <c r="Q22" s="33"/>
      <c r="R22" s="24"/>
      <c r="S22" s="24"/>
      <c r="T22" s="21" t="s">
        <v>180</v>
      </c>
      <c r="U22" s="14"/>
    </row>
    <row r="23" spans="1:21" x14ac:dyDescent="0.3">
      <c r="A23" s="1">
        <v>20</v>
      </c>
      <c r="B23" s="18" t="s">
        <v>101</v>
      </c>
      <c r="C23" s="18" t="s">
        <v>102</v>
      </c>
      <c r="D23" s="18"/>
      <c r="E23" s="18">
        <v>1984</v>
      </c>
      <c r="F23" s="18">
        <f t="shared" ca="1" si="0"/>
        <v>42</v>
      </c>
      <c r="G23" s="18" t="s">
        <v>181</v>
      </c>
      <c r="H23" s="19">
        <v>6943195517</v>
      </c>
      <c r="I23" s="18" t="s">
        <v>8</v>
      </c>
      <c r="J23" s="18" t="s">
        <v>40</v>
      </c>
      <c r="K23" s="18" t="s">
        <v>111</v>
      </c>
      <c r="L23" s="18" t="s">
        <v>33</v>
      </c>
      <c r="M23" s="18" t="s">
        <v>18</v>
      </c>
      <c r="N23" s="18">
        <v>300</v>
      </c>
      <c r="O23" s="18"/>
      <c r="P23" s="20" t="s">
        <v>182</v>
      </c>
      <c r="Q23" s="33" t="s">
        <v>183</v>
      </c>
      <c r="R23" s="24"/>
      <c r="S23" s="24"/>
      <c r="T23" s="21" t="s">
        <v>184</v>
      </c>
      <c r="U23" s="14"/>
    </row>
    <row r="24" spans="1:21" x14ac:dyDescent="0.3">
      <c r="A24" s="1">
        <v>21</v>
      </c>
      <c r="B24" s="34" t="s">
        <v>73</v>
      </c>
      <c r="C24" s="18" t="s">
        <v>74</v>
      </c>
      <c r="D24" s="18" t="s">
        <v>15</v>
      </c>
      <c r="E24" s="18">
        <v>1971</v>
      </c>
      <c r="F24" s="18">
        <f t="shared" ca="1" si="0"/>
        <v>55</v>
      </c>
      <c r="G24" s="18" t="s">
        <v>42</v>
      </c>
      <c r="H24" s="19">
        <v>6939419174</v>
      </c>
      <c r="I24" s="18" t="s">
        <v>8</v>
      </c>
      <c r="J24" s="18" t="s">
        <v>40</v>
      </c>
      <c r="K24" s="18" t="s">
        <v>115</v>
      </c>
      <c r="L24" s="18" t="s">
        <v>33</v>
      </c>
      <c r="M24" s="18"/>
      <c r="N24" s="18">
        <v>301</v>
      </c>
      <c r="O24" s="18"/>
      <c r="P24" s="20" t="s">
        <v>185</v>
      </c>
      <c r="Q24" s="33" t="s">
        <v>186</v>
      </c>
      <c r="R24" s="24"/>
      <c r="S24" s="24"/>
      <c r="T24" s="21" t="s">
        <v>187</v>
      </c>
      <c r="U24" s="14"/>
    </row>
    <row r="25" spans="1:21" x14ac:dyDescent="0.3">
      <c r="A25" s="1">
        <v>22</v>
      </c>
      <c r="B25" s="18" t="s">
        <v>103</v>
      </c>
      <c r="C25" s="18" t="s">
        <v>104</v>
      </c>
      <c r="D25" s="18" t="s">
        <v>22</v>
      </c>
      <c r="E25" s="18">
        <v>1958</v>
      </c>
      <c r="F25" s="18">
        <f t="shared" ca="1" si="0"/>
        <v>68</v>
      </c>
      <c r="G25" s="18" t="s">
        <v>42</v>
      </c>
      <c r="H25" s="19">
        <v>6942792285</v>
      </c>
      <c r="I25" s="18" t="s">
        <v>8</v>
      </c>
      <c r="J25" s="18" t="s">
        <v>40</v>
      </c>
      <c r="K25" s="18" t="s">
        <v>111</v>
      </c>
      <c r="L25" s="18" t="s">
        <v>33</v>
      </c>
      <c r="M25" s="18"/>
      <c r="N25" s="18">
        <v>302</v>
      </c>
      <c r="O25" s="18"/>
      <c r="P25" s="20" t="s">
        <v>188</v>
      </c>
      <c r="Q25" s="33"/>
      <c r="R25" s="24"/>
      <c r="S25" s="24"/>
      <c r="T25" s="21" t="s">
        <v>189</v>
      </c>
      <c r="U25" s="14"/>
    </row>
    <row r="26" spans="1:21" x14ac:dyDescent="0.3">
      <c r="A26" s="1">
        <v>23</v>
      </c>
      <c r="B26" s="18" t="s">
        <v>106</v>
      </c>
      <c r="C26" s="18" t="s">
        <v>48</v>
      </c>
      <c r="D26" s="18" t="s">
        <v>11</v>
      </c>
      <c r="E26" s="18">
        <v>1976</v>
      </c>
      <c r="F26" s="18">
        <f t="shared" ca="1" si="0"/>
        <v>50</v>
      </c>
      <c r="G26" s="34" t="s">
        <v>44</v>
      </c>
      <c r="H26" s="35" t="s">
        <v>190</v>
      </c>
      <c r="I26" s="22" t="s">
        <v>7</v>
      </c>
      <c r="J26" s="18" t="s">
        <v>40</v>
      </c>
      <c r="K26" s="18" t="s">
        <v>111</v>
      </c>
      <c r="L26" s="18" t="s">
        <v>20</v>
      </c>
      <c r="M26" s="22"/>
      <c r="N26" s="34">
        <v>304</v>
      </c>
      <c r="O26" s="22"/>
      <c r="P26" s="29" t="s">
        <v>191</v>
      </c>
      <c r="Q26" s="29" t="s">
        <v>192</v>
      </c>
      <c r="R26" s="37"/>
      <c r="S26" s="37"/>
      <c r="T26" s="29" t="s">
        <v>193</v>
      </c>
      <c r="U26" s="14"/>
    </row>
    <row r="27" spans="1:21" s="6" customFormat="1" x14ac:dyDescent="0.3">
      <c r="A27" s="1">
        <v>24</v>
      </c>
      <c r="B27" s="18" t="s">
        <v>75</v>
      </c>
      <c r="C27" s="18" t="s">
        <v>15</v>
      </c>
      <c r="D27" s="18" t="s">
        <v>76</v>
      </c>
      <c r="E27" s="18">
        <v>1973</v>
      </c>
      <c r="F27" s="18">
        <f t="shared" ca="1" si="0"/>
        <v>53</v>
      </c>
      <c r="G27" s="34" t="s">
        <v>194</v>
      </c>
      <c r="H27" s="35" t="s">
        <v>195</v>
      </c>
      <c r="I27" s="22" t="s">
        <v>7</v>
      </c>
      <c r="J27" s="18" t="s">
        <v>40</v>
      </c>
      <c r="K27" s="18" t="s">
        <v>115</v>
      </c>
      <c r="L27" s="30" t="s">
        <v>20</v>
      </c>
      <c r="M27" s="22"/>
      <c r="N27" s="18">
        <v>305</v>
      </c>
      <c r="O27" s="22"/>
      <c r="P27" s="29" t="s">
        <v>196</v>
      </c>
      <c r="Q27" s="36" t="s">
        <v>197</v>
      </c>
      <c r="R27" s="31"/>
      <c r="S27" s="37"/>
      <c r="T27" s="38" t="s">
        <v>198</v>
      </c>
      <c r="U27" s="17"/>
    </row>
    <row r="28" spans="1:21" x14ac:dyDescent="0.3">
      <c r="A28" s="1">
        <v>25</v>
      </c>
      <c r="B28" s="18" t="s">
        <v>107</v>
      </c>
      <c r="C28" s="18" t="s">
        <v>39</v>
      </c>
      <c r="D28" s="18" t="s">
        <v>54</v>
      </c>
      <c r="E28" s="18">
        <v>1981</v>
      </c>
      <c r="F28" s="18">
        <f t="shared" ca="1" si="0"/>
        <v>45</v>
      </c>
      <c r="G28" s="18"/>
      <c r="H28" s="19">
        <v>6981227489</v>
      </c>
      <c r="I28" s="22" t="s">
        <v>7</v>
      </c>
      <c r="J28" s="18" t="s">
        <v>40</v>
      </c>
      <c r="K28" s="18" t="s">
        <v>111</v>
      </c>
      <c r="L28" s="22" t="s">
        <v>20</v>
      </c>
      <c r="M28" s="18"/>
      <c r="N28" s="34">
        <v>306</v>
      </c>
      <c r="O28" s="18"/>
      <c r="P28" s="20" t="s">
        <v>199</v>
      </c>
      <c r="Q28" s="33" t="s">
        <v>200</v>
      </c>
      <c r="R28" s="24"/>
      <c r="S28" s="24"/>
      <c r="T28" s="21" t="s">
        <v>201</v>
      </c>
      <c r="U28" s="14"/>
    </row>
    <row r="29" spans="1:21" x14ac:dyDescent="0.3">
      <c r="A29" s="1">
        <v>26</v>
      </c>
      <c r="B29" s="18" t="s">
        <v>77</v>
      </c>
      <c r="C29" s="18" t="s">
        <v>78</v>
      </c>
      <c r="D29" s="18" t="s">
        <v>23</v>
      </c>
      <c r="E29" s="18">
        <v>1978</v>
      </c>
      <c r="F29" s="18">
        <f t="shared" ca="1" si="0"/>
        <v>48</v>
      </c>
      <c r="G29" s="34" t="s">
        <v>202</v>
      </c>
      <c r="H29" s="35">
        <v>6987016111</v>
      </c>
      <c r="I29" s="22" t="s">
        <v>8</v>
      </c>
      <c r="J29" s="18" t="s">
        <v>40</v>
      </c>
      <c r="K29" s="18" t="s">
        <v>115</v>
      </c>
      <c r="L29" s="22" t="s">
        <v>20</v>
      </c>
      <c r="M29" s="18"/>
      <c r="N29" s="18">
        <v>307</v>
      </c>
      <c r="O29" s="22"/>
      <c r="P29" s="29" t="s">
        <v>203</v>
      </c>
      <c r="Q29" s="44" t="s">
        <v>204</v>
      </c>
      <c r="R29" s="24"/>
      <c r="S29" s="24"/>
      <c r="T29" s="38" t="s">
        <v>205</v>
      </c>
      <c r="U29" s="14"/>
    </row>
    <row r="30" spans="1:21" x14ac:dyDescent="0.3">
      <c r="A30" s="1">
        <v>27</v>
      </c>
      <c r="B30" s="18" t="s">
        <v>79</v>
      </c>
      <c r="C30" s="18" t="s">
        <v>11</v>
      </c>
      <c r="D30" s="18" t="s">
        <v>25</v>
      </c>
      <c r="E30" s="18">
        <v>1975</v>
      </c>
      <c r="F30" s="18">
        <f t="shared" ca="1" si="0"/>
        <v>51</v>
      </c>
      <c r="G30" s="18" t="s">
        <v>119</v>
      </c>
      <c r="H30" s="19">
        <v>6946821604</v>
      </c>
      <c r="I30" s="18" t="s">
        <v>7</v>
      </c>
      <c r="J30" s="18" t="s">
        <v>40</v>
      </c>
      <c r="K30" s="18" t="s">
        <v>115</v>
      </c>
      <c r="L30" s="28" t="s">
        <v>33</v>
      </c>
      <c r="M30" s="18"/>
      <c r="N30" s="34">
        <v>308</v>
      </c>
      <c r="O30" s="18"/>
      <c r="P30" s="20" t="s">
        <v>206</v>
      </c>
      <c r="Q30" s="33" t="s">
        <v>207</v>
      </c>
      <c r="R30" s="24"/>
      <c r="S30" s="24"/>
      <c r="T30" s="21" t="s">
        <v>208</v>
      </c>
      <c r="U30" s="14"/>
    </row>
    <row r="31" spans="1:21" s="6" customFormat="1" ht="14.25" customHeight="1" x14ac:dyDescent="0.3">
      <c r="A31" s="1">
        <v>28</v>
      </c>
      <c r="B31" s="18" t="s">
        <v>80</v>
      </c>
      <c r="C31" s="18" t="s">
        <v>51</v>
      </c>
      <c r="D31" s="18" t="s">
        <v>81</v>
      </c>
      <c r="E31" s="18">
        <v>1973</v>
      </c>
      <c r="F31" s="18">
        <f t="shared" ca="1" si="0"/>
        <v>53</v>
      </c>
      <c r="G31" s="18" t="s">
        <v>209</v>
      </c>
      <c r="H31" s="19">
        <v>6985844213</v>
      </c>
      <c r="I31" s="18" t="s">
        <v>8</v>
      </c>
      <c r="J31" s="18" t="s">
        <v>40</v>
      </c>
      <c r="K31" s="18" t="s">
        <v>115</v>
      </c>
      <c r="L31" s="22" t="s">
        <v>21</v>
      </c>
      <c r="M31" s="18"/>
      <c r="N31" s="34">
        <v>309</v>
      </c>
      <c r="O31" s="18"/>
      <c r="P31" s="20" t="s">
        <v>210</v>
      </c>
      <c r="Q31" s="33" t="s">
        <v>211</v>
      </c>
      <c r="R31" s="24"/>
      <c r="S31" s="24"/>
      <c r="T31" s="21" t="s">
        <v>212</v>
      </c>
      <c r="U31" s="14"/>
    </row>
    <row r="32" spans="1:21" s="6" customFormat="1" x14ac:dyDescent="0.3">
      <c r="A32" s="1">
        <v>29</v>
      </c>
      <c r="B32" s="18" t="s">
        <v>82</v>
      </c>
      <c r="C32" s="18" t="s">
        <v>37</v>
      </c>
      <c r="D32" s="18" t="s">
        <v>15</v>
      </c>
      <c r="E32" s="18">
        <v>1977</v>
      </c>
      <c r="F32" s="18">
        <f t="shared" ca="1" si="0"/>
        <v>49</v>
      </c>
      <c r="G32" s="18" t="s">
        <v>213</v>
      </c>
      <c r="H32" s="19" t="s">
        <v>214</v>
      </c>
      <c r="I32" s="18" t="s">
        <v>7</v>
      </c>
      <c r="J32" s="18" t="s">
        <v>40</v>
      </c>
      <c r="K32" s="18" t="s">
        <v>115</v>
      </c>
      <c r="L32" s="18" t="s">
        <v>20</v>
      </c>
      <c r="M32" s="18"/>
      <c r="N32" s="18">
        <v>310</v>
      </c>
      <c r="O32" s="18"/>
      <c r="P32" s="20" t="s">
        <v>215</v>
      </c>
      <c r="Q32" s="33" t="s">
        <v>216</v>
      </c>
      <c r="R32" s="24"/>
      <c r="S32" s="24"/>
      <c r="T32" s="21" t="s">
        <v>217</v>
      </c>
      <c r="U32" s="14"/>
    </row>
    <row r="33" spans="1:21" s="6" customFormat="1" x14ac:dyDescent="0.3">
      <c r="A33" s="1">
        <v>30</v>
      </c>
      <c r="B33" s="18" t="s">
        <v>83</v>
      </c>
      <c r="C33" s="18" t="s">
        <v>46</v>
      </c>
      <c r="D33" s="18" t="s">
        <v>84</v>
      </c>
      <c r="E33" s="18">
        <v>1980</v>
      </c>
      <c r="F33" s="18">
        <f t="shared" ca="1" si="0"/>
        <v>46</v>
      </c>
      <c r="G33" s="18" t="s">
        <v>218</v>
      </c>
      <c r="H33" s="19">
        <v>6942083549</v>
      </c>
      <c r="I33" s="18" t="s">
        <v>8</v>
      </c>
      <c r="J33" s="18" t="s">
        <v>40</v>
      </c>
      <c r="K33" s="18" t="s">
        <v>115</v>
      </c>
      <c r="L33" s="18" t="s">
        <v>20</v>
      </c>
      <c r="M33" s="18"/>
      <c r="N33" s="34">
        <v>311</v>
      </c>
      <c r="O33" s="18"/>
      <c r="P33" s="20" t="s">
        <v>219</v>
      </c>
      <c r="Q33" s="33" t="s">
        <v>220</v>
      </c>
      <c r="R33" s="24"/>
      <c r="S33" s="24"/>
      <c r="T33" s="21" t="s">
        <v>221</v>
      </c>
      <c r="U33" s="14"/>
    </row>
    <row r="34" spans="1:21" s="6" customFormat="1" x14ac:dyDescent="0.3">
      <c r="A34" s="1">
        <v>31</v>
      </c>
      <c r="B34" s="30" t="s">
        <v>71</v>
      </c>
      <c r="C34" s="18" t="s">
        <v>72</v>
      </c>
      <c r="D34" s="18" t="s">
        <v>10</v>
      </c>
      <c r="E34" s="18">
        <v>1996</v>
      </c>
      <c r="F34" s="18">
        <f t="shared" ca="1" si="0"/>
        <v>30</v>
      </c>
      <c r="G34" s="18" t="s">
        <v>55</v>
      </c>
      <c r="H34" s="19">
        <v>6944752453</v>
      </c>
      <c r="I34" s="18" t="s">
        <v>8</v>
      </c>
      <c r="J34" s="18" t="s">
        <v>40</v>
      </c>
      <c r="K34" s="18" t="s">
        <v>115</v>
      </c>
      <c r="L34" s="18" t="s">
        <v>222</v>
      </c>
      <c r="M34" s="18" t="s">
        <v>18</v>
      </c>
      <c r="N34" s="18">
        <v>312</v>
      </c>
      <c r="O34" s="18"/>
      <c r="P34" s="20" t="s">
        <v>223</v>
      </c>
      <c r="Q34" s="33" t="s">
        <v>224</v>
      </c>
      <c r="R34" s="31"/>
      <c r="S34" s="24"/>
      <c r="T34" s="21" t="s">
        <v>225</v>
      </c>
      <c r="U34" s="14"/>
    </row>
    <row r="35" spans="1:21" s="6" customFormat="1" x14ac:dyDescent="0.3">
      <c r="A35" s="1">
        <v>32</v>
      </c>
      <c r="B35" s="18" t="s">
        <v>108</v>
      </c>
      <c r="C35" s="18" t="s">
        <v>109</v>
      </c>
      <c r="D35" s="18" t="s">
        <v>54</v>
      </c>
      <c r="E35" s="18">
        <v>1973</v>
      </c>
      <c r="F35" s="18">
        <f t="shared" ca="1" si="0"/>
        <v>53</v>
      </c>
      <c r="G35" s="18" t="s">
        <v>42</v>
      </c>
      <c r="H35" s="19">
        <v>6907178739</v>
      </c>
      <c r="I35" s="18" t="s">
        <v>8</v>
      </c>
      <c r="J35" s="18" t="s">
        <v>40</v>
      </c>
      <c r="K35" s="18" t="s">
        <v>111</v>
      </c>
      <c r="L35" s="18" t="s">
        <v>21</v>
      </c>
      <c r="M35" s="18"/>
      <c r="N35" s="34">
        <v>313</v>
      </c>
      <c r="O35" s="18"/>
      <c r="P35" s="20"/>
      <c r="Q35" s="33"/>
      <c r="R35" s="31"/>
      <c r="S35" s="24"/>
      <c r="T35" s="21" t="s">
        <v>226</v>
      </c>
      <c r="U35" s="14"/>
    </row>
    <row r="36" spans="1:21" s="6" customFormat="1" ht="15.75" thickBot="1" x14ac:dyDescent="0.35">
      <c r="A36" s="1">
        <v>33</v>
      </c>
      <c r="B36" s="18" t="s">
        <v>70</v>
      </c>
      <c r="C36" s="18" t="s">
        <v>39</v>
      </c>
      <c r="D36" s="18" t="s">
        <v>52</v>
      </c>
      <c r="E36" s="18">
        <v>1987</v>
      </c>
      <c r="F36" s="18">
        <f t="shared" ca="1" si="0"/>
        <v>39</v>
      </c>
      <c r="G36" s="18"/>
      <c r="H36" s="19">
        <v>6907149185</v>
      </c>
      <c r="I36" s="18" t="s">
        <v>7</v>
      </c>
      <c r="J36" s="18" t="s">
        <v>40</v>
      </c>
      <c r="K36" s="18" t="s">
        <v>115</v>
      </c>
      <c r="L36" s="18" t="s">
        <v>20</v>
      </c>
      <c r="M36" s="18"/>
      <c r="N36" s="18">
        <v>314</v>
      </c>
      <c r="O36" s="18"/>
      <c r="P36" s="20" t="s">
        <v>227</v>
      </c>
      <c r="Q36" s="20" t="s">
        <v>228</v>
      </c>
      <c r="R36" s="31"/>
      <c r="S36" s="24"/>
      <c r="T36" s="21" t="s">
        <v>229</v>
      </c>
      <c r="U36" s="14"/>
    </row>
    <row r="37" spans="1:21" s="6" customFormat="1" x14ac:dyDescent="0.3">
      <c r="A37" s="1">
        <v>34</v>
      </c>
      <c r="B37" s="18" t="s">
        <v>88</v>
      </c>
      <c r="C37" s="34" t="s">
        <v>89</v>
      </c>
      <c r="D37" s="18" t="s">
        <v>11</v>
      </c>
      <c r="E37" s="18">
        <v>1990</v>
      </c>
      <c r="F37" s="23">
        <f t="shared" ca="1" si="0"/>
        <v>36</v>
      </c>
      <c r="G37" s="18" t="s">
        <v>230</v>
      </c>
      <c r="H37" s="19">
        <v>6949731007</v>
      </c>
      <c r="I37" s="18" t="s">
        <v>8</v>
      </c>
      <c r="J37" s="18" t="s">
        <v>40</v>
      </c>
      <c r="K37" s="18" t="s">
        <v>111</v>
      </c>
      <c r="L37" s="18" t="s">
        <v>20</v>
      </c>
      <c r="M37" s="18" t="s">
        <v>18</v>
      </c>
      <c r="N37" s="34">
        <v>315</v>
      </c>
      <c r="O37" s="18"/>
      <c r="P37" s="20" t="s">
        <v>231</v>
      </c>
      <c r="Q37" s="33" t="s">
        <v>232</v>
      </c>
      <c r="R37" s="31"/>
      <c r="S37" s="24"/>
      <c r="T37" s="21" t="s">
        <v>233</v>
      </c>
      <c r="U37" s="14"/>
    </row>
    <row r="38" spans="1:21" s="6" customFormat="1" x14ac:dyDescent="0.3">
      <c r="A38" s="1">
        <v>35</v>
      </c>
      <c r="B38" s="18" t="s">
        <v>105</v>
      </c>
      <c r="C38" s="18" t="s">
        <v>10</v>
      </c>
      <c r="D38" s="18"/>
      <c r="E38" s="18">
        <v>1997</v>
      </c>
      <c r="F38" s="18">
        <f t="shared" ca="1" si="0"/>
        <v>29</v>
      </c>
      <c r="G38" s="18" t="s">
        <v>234</v>
      </c>
      <c r="H38" s="19">
        <v>6949731007</v>
      </c>
      <c r="I38" s="18" t="s">
        <v>7</v>
      </c>
      <c r="J38" s="18" t="s">
        <v>40</v>
      </c>
      <c r="K38" s="18" t="s">
        <v>111</v>
      </c>
      <c r="L38" s="18" t="s">
        <v>33</v>
      </c>
      <c r="M38" s="18" t="s">
        <v>18</v>
      </c>
      <c r="N38" s="18">
        <v>316</v>
      </c>
      <c r="O38" s="18"/>
      <c r="P38" s="20">
        <v>146399178</v>
      </c>
      <c r="Q38" s="33" t="s">
        <v>235</v>
      </c>
      <c r="R38" s="31"/>
      <c r="S38" s="24"/>
      <c r="T38" s="21" t="s">
        <v>236</v>
      </c>
      <c r="U38" s="14"/>
    </row>
    <row r="39" spans="1:21" x14ac:dyDescent="0.3">
      <c r="A39" s="1">
        <v>36</v>
      </c>
      <c r="B39" s="34" t="s">
        <v>90</v>
      </c>
      <c r="C39" s="34" t="s">
        <v>91</v>
      </c>
      <c r="D39" s="34" t="s">
        <v>92</v>
      </c>
      <c r="E39" s="34">
        <v>2002</v>
      </c>
      <c r="F39" s="18">
        <f t="shared" ca="1" si="0"/>
        <v>24</v>
      </c>
      <c r="G39" s="18" t="s">
        <v>43</v>
      </c>
      <c r="H39" s="19">
        <v>6946823726</v>
      </c>
      <c r="I39" s="18" t="s">
        <v>8</v>
      </c>
      <c r="J39" s="18" t="s">
        <v>40</v>
      </c>
      <c r="K39" s="18" t="s">
        <v>111</v>
      </c>
      <c r="L39" s="18"/>
      <c r="M39" s="18" t="s">
        <v>18</v>
      </c>
      <c r="N39" s="18">
        <v>317</v>
      </c>
      <c r="O39" s="18"/>
      <c r="P39" s="20" t="s">
        <v>237</v>
      </c>
      <c r="Q39" s="33" t="s">
        <v>238</v>
      </c>
      <c r="R39" s="31"/>
      <c r="S39" s="24"/>
      <c r="T39" s="21" t="s">
        <v>239</v>
      </c>
      <c r="U39" s="15"/>
    </row>
    <row r="40" spans="1:21" x14ac:dyDescent="0.3">
      <c r="A40" s="1">
        <v>37</v>
      </c>
      <c r="B40" s="18"/>
      <c r="C40" s="18"/>
      <c r="D40" s="18"/>
      <c r="E40" s="18"/>
      <c r="F40" s="18">
        <f t="shared" ca="1" si="0"/>
        <v>2026</v>
      </c>
      <c r="G40" s="18"/>
      <c r="H40" s="19"/>
      <c r="I40" s="18"/>
      <c r="J40" s="18"/>
      <c r="K40" s="18"/>
      <c r="L40" s="18"/>
      <c r="M40" s="18"/>
      <c r="N40" s="18"/>
      <c r="O40" s="18"/>
      <c r="P40" s="20"/>
      <c r="Q40" s="33"/>
      <c r="R40" s="24"/>
      <c r="S40" s="24"/>
      <c r="T40" s="21"/>
      <c r="U40" s="14"/>
    </row>
    <row r="41" spans="1:21" x14ac:dyDescent="0.3">
      <c r="A41" s="1">
        <v>38</v>
      </c>
      <c r="B41" s="18"/>
      <c r="C41" s="18"/>
      <c r="D41" s="18"/>
      <c r="E41" s="18"/>
      <c r="F41" s="18">
        <f t="shared" ca="1" si="0"/>
        <v>2026</v>
      </c>
      <c r="G41" s="18"/>
      <c r="H41" s="19"/>
      <c r="I41" s="18"/>
      <c r="J41" s="18"/>
      <c r="K41" s="18"/>
      <c r="L41" s="18"/>
      <c r="M41" s="22"/>
      <c r="N41" s="18"/>
      <c r="O41" s="18"/>
      <c r="P41" s="20"/>
      <c r="Q41" s="33"/>
      <c r="R41" s="24"/>
      <c r="S41" s="24"/>
      <c r="T41" s="21"/>
      <c r="U41" s="14"/>
    </row>
    <row r="42" spans="1:21" x14ac:dyDescent="0.3">
      <c r="A42" s="1">
        <v>39</v>
      </c>
      <c r="B42" s="18"/>
      <c r="C42" s="34"/>
      <c r="D42" s="18"/>
      <c r="E42" s="18"/>
      <c r="F42" s="18">
        <f t="shared" ca="1" si="0"/>
        <v>2026</v>
      </c>
      <c r="G42" s="18"/>
      <c r="H42" s="19"/>
      <c r="I42" s="18"/>
      <c r="J42" s="18"/>
      <c r="K42" s="18"/>
      <c r="L42" s="18"/>
      <c r="M42" s="18"/>
      <c r="N42" s="18"/>
      <c r="O42" s="18"/>
      <c r="P42" s="20"/>
      <c r="Q42" s="33"/>
      <c r="R42" s="31"/>
      <c r="S42" s="24"/>
      <c r="T42" s="21"/>
      <c r="U42" s="14"/>
    </row>
    <row r="43" spans="1:21" x14ac:dyDescent="0.3">
      <c r="A43" s="1">
        <v>40</v>
      </c>
      <c r="B43" s="18"/>
      <c r="C43" s="18"/>
      <c r="D43" s="18"/>
      <c r="E43" s="39"/>
      <c r="F43" s="18">
        <f t="shared" ca="1" si="0"/>
        <v>2026</v>
      </c>
      <c r="G43" s="39"/>
      <c r="H43" s="39"/>
      <c r="I43" s="39"/>
      <c r="J43" s="39"/>
      <c r="K43" s="18"/>
      <c r="L43" s="39"/>
      <c r="M43" s="18"/>
      <c r="N43" s="39"/>
      <c r="O43" s="18"/>
      <c r="P43" s="21"/>
      <c r="Q43" s="43"/>
      <c r="R43" s="18"/>
      <c r="S43" s="18"/>
      <c r="T43" s="18"/>
      <c r="U43" s="14"/>
    </row>
    <row r="44" spans="1:21" x14ac:dyDescent="0.3">
      <c r="A44" s="1">
        <v>41</v>
      </c>
      <c r="B44" s="34"/>
      <c r="C44" s="34"/>
      <c r="D44" s="34"/>
      <c r="E44" s="18"/>
      <c r="F44" s="18">
        <f t="shared" ca="1" si="0"/>
        <v>2026</v>
      </c>
      <c r="G44" s="18"/>
      <c r="H44" s="18"/>
      <c r="I44" s="18"/>
      <c r="J44" s="39"/>
      <c r="K44" s="18"/>
      <c r="L44" s="18"/>
      <c r="M44" s="18"/>
      <c r="N44" s="18"/>
      <c r="O44" s="18"/>
      <c r="P44" s="40"/>
      <c r="Q44" s="20"/>
      <c r="R44" s="18"/>
      <c r="S44" s="18"/>
      <c r="T44" s="18"/>
      <c r="U44" s="14"/>
    </row>
    <row r="45" spans="1:21" x14ac:dyDescent="0.3">
      <c r="A45" s="1">
        <v>47</v>
      </c>
      <c r="B45" s="34"/>
      <c r="C45" s="34"/>
      <c r="D45" s="34"/>
      <c r="E45" s="18"/>
      <c r="F45" s="18">
        <f t="shared" ref="F45:F60" ca="1" si="1">$E$1-E45</f>
        <v>2026</v>
      </c>
      <c r="G45" s="18"/>
      <c r="H45" s="19"/>
      <c r="I45" s="18"/>
      <c r="J45" s="18"/>
      <c r="K45" s="24"/>
      <c r="L45" s="18"/>
      <c r="M45" s="18"/>
      <c r="N45" s="18"/>
      <c r="O45" s="18"/>
      <c r="P45" s="25"/>
      <c r="Q45" s="20"/>
      <c r="R45" s="24"/>
      <c r="S45" s="24"/>
      <c r="T45" s="18"/>
      <c r="U45" s="14"/>
    </row>
    <row r="46" spans="1:21" x14ac:dyDescent="0.3">
      <c r="A46" s="1">
        <v>48</v>
      </c>
      <c r="B46" s="18"/>
      <c r="C46" s="18"/>
      <c r="D46" s="18"/>
      <c r="E46" s="18"/>
      <c r="F46" s="18">
        <f t="shared" ca="1" si="1"/>
        <v>2026</v>
      </c>
      <c r="G46" s="18"/>
      <c r="H46" s="19"/>
      <c r="I46" s="18"/>
      <c r="J46" s="18"/>
      <c r="K46" s="24"/>
      <c r="L46" s="18"/>
      <c r="M46" s="18"/>
      <c r="N46" s="18"/>
      <c r="O46" s="18"/>
      <c r="P46" s="20"/>
      <c r="Q46" s="20"/>
      <c r="R46" s="24"/>
      <c r="S46" s="24"/>
      <c r="T46" s="18"/>
      <c r="U46" s="14"/>
    </row>
    <row r="47" spans="1:21" x14ac:dyDescent="0.3">
      <c r="A47" s="1">
        <v>49</v>
      </c>
      <c r="B47" s="18"/>
      <c r="C47" s="18"/>
      <c r="D47" s="18"/>
      <c r="E47" s="18"/>
      <c r="F47" s="18">
        <f t="shared" ca="1" si="1"/>
        <v>2026</v>
      </c>
      <c r="G47" s="18"/>
      <c r="H47" s="19"/>
      <c r="I47" s="18"/>
      <c r="J47" s="18"/>
      <c r="K47" s="24"/>
      <c r="L47" s="18"/>
      <c r="M47" s="18"/>
      <c r="N47" s="18"/>
      <c r="O47" s="18"/>
      <c r="P47" s="25"/>
      <c r="Q47" s="20"/>
      <c r="R47" s="24"/>
      <c r="S47" s="24"/>
      <c r="T47" s="18"/>
      <c r="U47" s="14"/>
    </row>
    <row r="48" spans="1:21" x14ac:dyDescent="0.3">
      <c r="A48" s="1">
        <v>50</v>
      </c>
      <c r="B48" s="18"/>
      <c r="C48" s="18"/>
      <c r="D48" s="18"/>
      <c r="E48" s="18"/>
      <c r="F48" s="18">
        <f t="shared" ca="1" si="1"/>
        <v>2026</v>
      </c>
      <c r="G48" s="18"/>
      <c r="H48" s="19"/>
      <c r="I48" s="18"/>
      <c r="J48" s="18"/>
      <c r="K48" s="24"/>
      <c r="L48" s="18"/>
      <c r="M48" s="18"/>
      <c r="N48" s="18"/>
      <c r="O48" s="18"/>
      <c r="P48" s="25"/>
      <c r="Q48" s="20"/>
      <c r="R48" s="24"/>
      <c r="S48" s="24"/>
      <c r="T48" s="20"/>
      <c r="U48" s="14"/>
    </row>
    <row r="49" spans="1:21" x14ac:dyDescent="0.3">
      <c r="A49" s="1">
        <v>51</v>
      </c>
      <c r="B49" s="18"/>
      <c r="C49" s="18"/>
      <c r="D49" s="18"/>
      <c r="E49" s="18"/>
      <c r="F49" s="18">
        <f t="shared" ca="1" si="1"/>
        <v>2026</v>
      </c>
      <c r="G49" s="18"/>
      <c r="H49" s="19"/>
      <c r="I49" s="18"/>
      <c r="J49" s="18"/>
      <c r="K49" s="24"/>
      <c r="L49" s="18"/>
      <c r="M49" s="18"/>
      <c r="N49" s="18"/>
      <c r="O49" s="18"/>
      <c r="P49" s="20"/>
      <c r="Q49" s="20"/>
      <c r="R49" s="24"/>
      <c r="S49" s="24"/>
      <c r="T49" s="18"/>
      <c r="U49" s="14"/>
    </row>
    <row r="50" spans="1:21" x14ac:dyDescent="0.3">
      <c r="A50" s="1">
        <v>52</v>
      </c>
      <c r="B50" s="18"/>
      <c r="C50" s="18"/>
      <c r="D50" s="18"/>
      <c r="E50" s="18"/>
      <c r="F50" s="18">
        <f t="shared" ca="1" si="1"/>
        <v>2026</v>
      </c>
      <c r="G50" s="18"/>
      <c r="H50" s="19"/>
      <c r="I50" s="18"/>
      <c r="J50" s="18"/>
      <c r="K50" s="24"/>
      <c r="L50" s="18"/>
      <c r="M50" s="18"/>
      <c r="N50" s="18"/>
      <c r="O50" s="18"/>
      <c r="P50" s="20"/>
      <c r="Q50" s="20"/>
      <c r="R50" s="24"/>
      <c r="S50" s="24"/>
      <c r="T50" s="20"/>
      <c r="U50" s="14"/>
    </row>
    <row r="51" spans="1:21" x14ac:dyDescent="0.3">
      <c r="A51" s="1">
        <v>53</v>
      </c>
      <c r="B51" s="18"/>
      <c r="C51" s="18"/>
      <c r="D51" s="18"/>
      <c r="E51" s="18"/>
      <c r="F51" s="18">
        <f t="shared" ca="1" si="1"/>
        <v>2026</v>
      </c>
      <c r="G51" s="18"/>
      <c r="H51" s="26"/>
      <c r="I51" s="18"/>
      <c r="J51" s="18"/>
      <c r="K51" s="24"/>
      <c r="L51" s="18"/>
      <c r="M51" s="18"/>
      <c r="N51" s="18"/>
      <c r="O51" s="18"/>
      <c r="P51" s="20"/>
      <c r="Q51" s="25"/>
      <c r="R51" s="24"/>
      <c r="S51" s="24"/>
      <c r="T51" s="18"/>
    </row>
    <row r="52" spans="1:21" x14ac:dyDescent="0.3">
      <c r="A52" s="1">
        <v>54</v>
      </c>
      <c r="B52" s="18"/>
      <c r="C52" s="18"/>
      <c r="D52" s="18"/>
      <c r="E52" s="18"/>
      <c r="F52" s="18">
        <f t="shared" ca="1" si="1"/>
        <v>2026</v>
      </c>
      <c r="G52" s="18"/>
      <c r="H52" s="19"/>
      <c r="I52" s="18"/>
      <c r="J52" s="18"/>
      <c r="K52" s="24"/>
      <c r="L52" s="18"/>
      <c r="M52" s="18"/>
      <c r="N52" s="18"/>
      <c r="O52" s="18"/>
      <c r="P52" s="20"/>
      <c r="Q52" s="20"/>
      <c r="R52" s="24"/>
      <c r="S52" s="24"/>
      <c r="T52" s="18"/>
    </row>
    <row r="53" spans="1:21" x14ac:dyDescent="0.3">
      <c r="A53" s="1">
        <v>55</v>
      </c>
      <c r="B53" s="18"/>
      <c r="C53" s="18"/>
      <c r="D53" s="18"/>
      <c r="E53" s="18"/>
      <c r="F53" s="18">
        <f t="shared" ca="1" si="1"/>
        <v>2026</v>
      </c>
      <c r="G53" s="18"/>
      <c r="H53" s="19"/>
      <c r="I53" s="18"/>
      <c r="J53" s="18"/>
      <c r="K53" s="24"/>
      <c r="L53" s="18"/>
      <c r="M53" s="18"/>
      <c r="N53" s="18"/>
      <c r="O53" s="18"/>
      <c r="P53" s="20"/>
      <c r="Q53" s="20"/>
      <c r="R53" s="24"/>
      <c r="S53" s="24"/>
      <c r="T53" s="18"/>
    </row>
    <row r="54" spans="1:21" x14ac:dyDescent="0.3">
      <c r="A54" s="1">
        <v>56</v>
      </c>
      <c r="B54" s="18"/>
      <c r="C54" s="18"/>
      <c r="D54" s="18"/>
      <c r="E54" s="18"/>
      <c r="F54" s="18">
        <f t="shared" ca="1" si="1"/>
        <v>2026</v>
      </c>
      <c r="G54" s="18"/>
      <c r="H54" s="19"/>
      <c r="I54" s="18"/>
      <c r="J54" s="18"/>
      <c r="K54" s="24"/>
      <c r="L54" s="18"/>
      <c r="M54" s="18"/>
      <c r="N54" s="18"/>
      <c r="O54" s="18"/>
      <c r="P54" s="20"/>
      <c r="Q54" s="20"/>
      <c r="R54" s="24"/>
      <c r="S54" s="24"/>
      <c r="T54" s="18"/>
    </row>
    <row r="55" spans="1:21" x14ac:dyDescent="0.3">
      <c r="A55" s="1">
        <v>57</v>
      </c>
      <c r="B55" s="18"/>
      <c r="C55" s="18"/>
      <c r="D55" s="18"/>
      <c r="E55" s="18"/>
      <c r="F55" s="18">
        <f t="shared" ca="1" si="1"/>
        <v>2026</v>
      </c>
      <c r="G55" s="18"/>
      <c r="H55" s="19"/>
      <c r="I55" s="18"/>
      <c r="J55" s="18"/>
      <c r="K55" s="24"/>
      <c r="L55" s="18"/>
      <c r="M55" s="18"/>
      <c r="N55" s="18"/>
      <c r="O55" s="18"/>
      <c r="P55" s="20"/>
      <c r="Q55" s="20"/>
      <c r="R55" s="24"/>
      <c r="S55" s="24"/>
      <c r="T55" s="18"/>
    </row>
    <row r="56" spans="1:21" x14ac:dyDescent="0.3">
      <c r="A56" s="1">
        <v>58</v>
      </c>
      <c r="B56" s="18"/>
      <c r="C56" s="18"/>
      <c r="D56" s="18"/>
      <c r="E56" s="18"/>
      <c r="F56" s="18">
        <f t="shared" ca="1" si="1"/>
        <v>2026</v>
      </c>
      <c r="G56" s="18"/>
      <c r="H56" s="19"/>
      <c r="I56" s="18"/>
      <c r="J56" s="18"/>
      <c r="K56" s="24"/>
      <c r="L56" s="18"/>
      <c r="M56" s="18"/>
      <c r="N56" s="18"/>
      <c r="O56" s="18"/>
      <c r="P56" s="20"/>
      <c r="Q56" s="20"/>
      <c r="R56" s="24"/>
      <c r="S56" s="24"/>
      <c r="T56" s="18"/>
    </row>
    <row r="57" spans="1:21" x14ac:dyDescent="0.3">
      <c r="A57" s="1">
        <v>59</v>
      </c>
      <c r="B57" s="18"/>
      <c r="C57" s="18"/>
      <c r="D57" s="18"/>
      <c r="E57" s="18"/>
      <c r="F57" s="18">
        <f t="shared" ca="1" si="1"/>
        <v>2026</v>
      </c>
      <c r="G57" s="18"/>
      <c r="H57" s="19"/>
      <c r="I57" s="18"/>
      <c r="J57" s="18"/>
      <c r="K57" s="24"/>
      <c r="L57" s="18"/>
      <c r="M57" s="18"/>
      <c r="N57" s="18"/>
      <c r="O57" s="18"/>
      <c r="P57" s="20"/>
      <c r="Q57" s="25"/>
      <c r="R57" s="24"/>
      <c r="S57" s="24"/>
      <c r="T57" s="18"/>
    </row>
    <row r="58" spans="1:21" x14ac:dyDescent="0.3">
      <c r="A58" s="1">
        <v>60</v>
      </c>
      <c r="B58" s="18"/>
      <c r="C58" s="18"/>
      <c r="D58" s="18"/>
      <c r="E58" s="18"/>
      <c r="F58" s="18">
        <f t="shared" ca="1" si="1"/>
        <v>2026</v>
      </c>
      <c r="G58" s="18"/>
      <c r="H58" s="19"/>
      <c r="I58" s="18"/>
      <c r="J58" s="18"/>
      <c r="K58" s="24"/>
      <c r="L58" s="18"/>
      <c r="M58" s="18"/>
      <c r="N58" s="18"/>
      <c r="O58" s="18"/>
      <c r="P58" s="20"/>
      <c r="Q58" s="20"/>
      <c r="R58" s="24"/>
      <c r="S58" s="24"/>
      <c r="T58" s="18"/>
    </row>
    <row r="59" spans="1:21" x14ac:dyDescent="0.3">
      <c r="A59" s="1">
        <v>61</v>
      </c>
      <c r="B59" s="18"/>
      <c r="C59" s="18"/>
      <c r="D59" s="18"/>
      <c r="E59" s="18"/>
      <c r="F59" s="18">
        <f t="shared" ca="1" si="1"/>
        <v>2026</v>
      </c>
      <c r="G59" s="18"/>
      <c r="H59" s="19"/>
      <c r="I59" s="18"/>
      <c r="J59" s="18"/>
      <c r="K59" s="24"/>
      <c r="L59" s="18"/>
      <c r="M59" s="18"/>
      <c r="N59" s="18"/>
      <c r="O59" s="18"/>
      <c r="P59" s="20"/>
      <c r="Q59" s="20"/>
      <c r="R59" s="24"/>
      <c r="S59" s="24"/>
      <c r="T59" s="18"/>
    </row>
    <row r="60" spans="1:21" x14ac:dyDescent="0.3">
      <c r="A60" s="1">
        <v>62</v>
      </c>
      <c r="B60" s="18"/>
      <c r="C60" s="18"/>
      <c r="D60" s="18"/>
      <c r="E60" s="18"/>
      <c r="F60" s="18">
        <f t="shared" ca="1" si="1"/>
        <v>2026</v>
      </c>
      <c r="G60" s="18"/>
      <c r="H60" s="19"/>
      <c r="I60" s="18"/>
      <c r="J60" s="18"/>
      <c r="K60" s="24"/>
      <c r="L60" s="18"/>
      <c r="M60" s="18"/>
      <c r="N60" s="18"/>
      <c r="O60" s="18"/>
      <c r="P60" s="20"/>
      <c r="Q60" s="20"/>
      <c r="R60" s="24"/>
      <c r="S60" s="24"/>
      <c r="T60" s="18"/>
    </row>
    <row r="61" spans="1:21" x14ac:dyDescent="0.3">
      <c r="A61" s="1">
        <v>63</v>
      </c>
      <c r="B61" s="18"/>
      <c r="C61" s="18"/>
      <c r="D61" s="18"/>
      <c r="E61" s="18"/>
      <c r="F61" s="18">
        <f t="shared" ref="F61:F73" ca="1" si="2">$E$1-E61</f>
        <v>2026</v>
      </c>
      <c r="G61" s="18"/>
      <c r="H61" s="19"/>
      <c r="I61" s="18"/>
      <c r="J61" s="18"/>
      <c r="K61" s="24"/>
      <c r="L61" s="18"/>
      <c r="M61" s="18"/>
      <c r="N61" s="18"/>
      <c r="O61" s="18"/>
      <c r="P61" s="20"/>
      <c r="Q61" s="20"/>
      <c r="R61" s="24"/>
      <c r="S61" s="24"/>
      <c r="T61" s="20"/>
    </row>
    <row r="62" spans="1:21" x14ac:dyDescent="0.3">
      <c r="A62" s="1">
        <v>64</v>
      </c>
      <c r="B62" s="18"/>
      <c r="C62" s="18"/>
      <c r="D62" s="18"/>
      <c r="E62" s="18"/>
      <c r="F62" s="18">
        <f t="shared" ca="1" si="2"/>
        <v>2026</v>
      </c>
      <c r="G62" s="18"/>
      <c r="H62" s="19"/>
      <c r="I62" s="18"/>
      <c r="J62" s="18"/>
      <c r="K62" s="24"/>
      <c r="L62" s="18"/>
      <c r="M62" s="18"/>
      <c r="N62" s="18"/>
      <c r="O62" s="18"/>
      <c r="P62" s="20"/>
      <c r="Q62" s="20"/>
      <c r="R62" s="24"/>
      <c r="S62" s="24"/>
      <c r="T62" s="18"/>
    </row>
    <row r="63" spans="1:21" x14ac:dyDescent="0.3">
      <c r="A63" s="1">
        <v>65</v>
      </c>
      <c r="B63" s="18"/>
      <c r="C63" s="18"/>
      <c r="D63" s="18"/>
      <c r="E63" s="18"/>
      <c r="F63" s="18">
        <f t="shared" ca="1" si="2"/>
        <v>2026</v>
      </c>
      <c r="G63" s="18"/>
      <c r="H63" s="19"/>
      <c r="I63" s="18"/>
      <c r="J63" s="18"/>
      <c r="K63" s="24"/>
      <c r="L63" s="18"/>
      <c r="M63" s="18"/>
      <c r="N63" s="18"/>
      <c r="O63" s="18"/>
      <c r="P63" s="20"/>
      <c r="Q63" s="20"/>
      <c r="R63" s="24"/>
      <c r="S63" s="24"/>
      <c r="T63" s="20"/>
    </row>
    <row r="64" spans="1:21" x14ac:dyDescent="0.3">
      <c r="A64" s="1">
        <v>66</v>
      </c>
      <c r="B64" s="18"/>
      <c r="C64" s="18"/>
      <c r="D64" s="18"/>
      <c r="E64" s="18"/>
      <c r="F64" s="18">
        <f t="shared" ca="1" si="2"/>
        <v>2026</v>
      </c>
      <c r="G64" s="18"/>
      <c r="H64" s="19"/>
      <c r="I64" s="18"/>
      <c r="J64" s="18"/>
      <c r="K64" s="24"/>
      <c r="L64" s="18"/>
      <c r="M64" s="18"/>
      <c r="N64" s="18"/>
      <c r="O64" s="18"/>
      <c r="P64" s="25"/>
      <c r="Q64" s="20"/>
      <c r="R64" s="24"/>
      <c r="S64" s="24"/>
      <c r="T64" s="20"/>
    </row>
    <row r="65" spans="1:20" x14ac:dyDescent="0.3">
      <c r="A65" s="1">
        <v>67</v>
      </c>
      <c r="B65" s="18"/>
      <c r="C65" s="18"/>
      <c r="D65" s="18"/>
      <c r="E65" s="18"/>
      <c r="F65" s="18">
        <f t="shared" ca="1" si="2"/>
        <v>2026</v>
      </c>
      <c r="G65" s="18"/>
      <c r="H65" s="19"/>
      <c r="I65" s="18"/>
      <c r="J65" s="18"/>
      <c r="K65" s="24"/>
      <c r="L65" s="18"/>
      <c r="M65" s="18"/>
      <c r="N65" s="18"/>
      <c r="O65" s="18"/>
      <c r="P65" s="20"/>
      <c r="Q65" s="20"/>
      <c r="R65" s="24"/>
      <c r="S65" s="24"/>
      <c r="T65" s="20"/>
    </row>
    <row r="66" spans="1:20" x14ac:dyDescent="0.3">
      <c r="A66" s="1">
        <v>68</v>
      </c>
      <c r="B66" s="18"/>
      <c r="C66" s="18"/>
      <c r="D66" s="18"/>
      <c r="E66" s="18"/>
      <c r="F66" s="18">
        <f t="shared" ca="1" si="2"/>
        <v>2026</v>
      </c>
      <c r="G66" s="18"/>
      <c r="H66" s="19"/>
      <c r="I66" s="18"/>
      <c r="J66" s="18"/>
      <c r="K66" s="24"/>
      <c r="L66" s="18"/>
      <c r="M66" s="18"/>
      <c r="N66" s="18"/>
      <c r="O66" s="18"/>
      <c r="P66" s="20"/>
      <c r="Q66" s="20"/>
      <c r="R66" s="24"/>
      <c r="S66" s="24"/>
      <c r="T66" s="20"/>
    </row>
    <row r="67" spans="1:20" x14ac:dyDescent="0.3">
      <c r="A67" s="1">
        <v>69</v>
      </c>
      <c r="B67" s="18"/>
      <c r="C67" s="18"/>
      <c r="D67" s="18"/>
      <c r="E67" s="18"/>
      <c r="F67" s="18">
        <f t="shared" ca="1" si="2"/>
        <v>2026</v>
      </c>
      <c r="G67" s="18"/>
      <c r="H67" s="19"/>
      <c r="I67" s="18"/>
      <c r="J67" s="18"/>
      <c r="K67" s="24"/>
      <c r="L67" s="18"/>
      <c r="M67" s="18"/>
      <c r="N67" s="18"/>
      <c r="O67" s="18"/>
      <c r="P67" s="25"/>
      <c r="Q67" s="25"/>
      <c r="R67" s="24"/>
      <c r="S67" s="24"/>
      <c r="T67" s="20"/>
    </row>
    <row r="68" spans="1:20" x14ac:dyDescent="0.3">
      <c r="A68" s="1">
        <v>70</v>
      </c>
      <c r="B68" s="18"/>
      <c r="C68" s="18"/>
      <c r="D68" s="18"/>
      <c r="E68" s="18"/>
      <c r="F68" s="18">
        <f t="shared" ca="1" si="2"/>
        <v>2026</v>
      </c>
      <c r="G68" s="18"/>
      <c r="H68" s="19"/>
      <c r="I68" s="18"/>
      <c r="J68" s="18"/>
      <c r="K68" s="24"/>
      <c r="L68" s="18"/>
      <c r="M68" s="18"/>
      <c r="N68" s="18"/>
      <c r="O68" s="18"/>
      <c r="P68" s="20"/>
      <c r="Q68" s="20"/>
      <c r="R68" s="24"/>
      <c r="S68" s="24"/>
      <c r="T68" s="20"/>
    </row>
    <row r="69" spans="1:20" x14ac:dyDescent="0.3">
      <c r="A69" s="1">
        <v>71</v>
      </c>
      <c r="B69" s="18"/>
      <c r="C69" s="18"/>
      <c r="D69" s="18"/>
      <c r="E69" s="18"/>
      <c r="F69" s="18">
        <f t="shared" ca="1" si="2"/>
        <v>2026</v>
      </c>
      <c r="G69" s="18"/>
      <c r="H69" s="18"/>
      <c r="I69" s="18"/>
      <c r="J69" s="18"/>
      <c r="K69" s="24"/>
      <c r="L69" s="18"/>
      <c r="M69" s="18"/>
      <c r="N69" s="18"/>
      <c r="O69" s="18"/>
      <c r="P69" s="20"/>
      <c r="Q69" s="20"/>
      <c r="R69" s="18"/>
      <c r="S69" s="18"/>
      <c r="T69" s="18"/>
    </row>
    <row r="70" spans="1:20" x14ac:dyDescent="0.3">
      <c r="A70" s="1">
        <v>72</v>
      </c>
      <c r="B70" s="18"/>
      <c r="C70" s="18"/>
      <c r="D70" s="18"/>
      <c r="E70" s="18"/>
      <c r="F70" s="18">
        <f t="shared" ca="1" si="2"/>
        <v>2026</v>
      </c>
      <c r="G70" s="18"/>
      <c r="H70" s="27"/>
      <c r="I70" s="18"/>
      <c r="J70" s="18"/>
      <c r="K70" s="24"/>
      <c r="L70" s="18"/>
      <c r="M70" s="18"/>
      <c r="N70" s="18"/>
      <c r="O70" s="18"/>
      <c r="P70" s="20"/>
      <c r="Q70" s="20"/>
      <c r="R70" s="24"/>
      <c r="S70" s="24"/>
      <c r="T70" s="21"/>
    </row>
    <row r="71" spans="1:20" x14ac:dyDescent="0.3">
      <c r="A71" s="1">
        <v>73</v>
      </c>
      <c r="B71" s="18"/>
      <c r="C71" s="18"/>
      <c r="D71" s="18"/>
      <c r="E71" s="18"/>
      <c r="F71" s="18">
        <f t="shared" ca="1" si="2"/>
        <v>2026</v>
      </c>
      <c r="G71" s="18"/>
      <c r="H71" s="19"/>
      <c r="I71" s="18"/>
      <c r="J71" s="18"/>
      <c r="K71" s="24"/>
      <c r="L71" s="18"/>
      <c r="M71" s="18"/>
      <c r="N71" s="18"/>
      <c r="O71" s="18"/>
      <c r="P71" s="20"/>
      <c r="Q71" s="25"/>
      <c r="R71" s="24"/>
      <c r="S71" s="24"/>
      <c r="T71" s="18"/>
    </row>
    <row r="72" spans="1:20" x14ac:dyDescent="0.3">
      <c r="A72" s="1">
        <v>74</v>
      </c>
      <c r="B72" s="18"/>
      <c r="C72" s="18"/>
      <c r="D72" s="18"/>
      <c r="E72" s="18"/>
      <c r="F72" s="18">
        <f t="shared" ca="1" si="2"/>
        <v>2026</v>
      </c>
      <c r="G72" s="18"/>
      <c r="H72" s="18"/>
      <c r="I72" s="18"/>
      <c r="J72" s="18"/>
      <c r="K72" s="24"/>
      <c r="L72" s="28"/>
      <c r="M72" s="18"/>
      <c r="N72" s="18"/>
      <c r="O72" s="18"/>
      <c r="P72" s="20"/>
      <c r="Q72" s="20"/>
      <c r="R72" s="24"/>
      <c r="S72" s="24"/>
      <c r="T72" s="18"/>
    </row>
    <row r="73" spans="1:20" x14ac:dyDescent="0.3">
      <c r="A73" s="1">
        <v>75</v>
      </c>
      <c r="B73" s="18"/>
      <c r="C73" s="18"/>
      <c r="D73" s="18"/>
      <c r="E73" s="18"/>
      <c r="F73" s="18">
        <f t="shared" ca="1" si="2"/>
        <v>2026</v>
      </c>
      <c r="G73" s="18"/>
      <c r="H73" s="19"/>
      <c r="I73" s="18"/>
      <c r="J73" s="18"/>
      <c r="K73" s="24"/>
      <c r="L73" s="18"/>
      <c r="M73" s="18"/>
      <c r="N73" s="18"/>
      <c r="O73" s="18"/>
      <c r="P73" s="20"/>
      <c r="Q73" s="20"/>
      <c r="R73" s="24"/>
      <c r="S73" s="24"/>
      <c r="T73" s="25"/>
    </row>
  </sheetData>
  <pageMargins left="0.70866141732283472" right="0.70866141732283472" top="0.74803149606299213" bottom="0.74803149606299213" header="0.31496062992125984" footer="0.31496062992125984"/>
  <pageSetup paperSize="9" scale="6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ΑΤΟΜΙΚΑ ΣΤΟΙΧΕΙΑ A</vt:lpstr>
      <vt:lpstr>'ΑΤΟΜΙΚΑ ΣΤΟΙΧΕΙΑ 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</dc:creator>
  <cp:lastModifiedBy>Α Α</cp:lastModifiedBy>
  <cp:lastPrinted>2017-11-07T15:15:38Z</cp:lastPrinted>
  <dcterms:created xsi:type="dcterms:W3CDTF">2011-09-05T10:29:27Z</dcterms:created>
  <dcterms:modified xsi:type="dcterms:W3CDTF">2026-01-08T07:18:26Z</dcterms:modified>
</cp:coreProperties>
</file>